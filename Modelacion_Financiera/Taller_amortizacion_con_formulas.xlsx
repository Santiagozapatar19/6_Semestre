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dd6067cb9a9cf8a/Desktop/Santiago Zapata/Modelacion_Financiera/"/>
    </mc:Choice>
  </mc:AlternateContent>
  <xr:revisionPtr revIDLastSave="0" documentId="8_{81F3EC55-E7A9-4AEF-BF1F-43453B8D9F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jercic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7" i="1" l="1"/>
  <c r="B88" i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8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C7" i="1"/>
  <c r="B7" i="1"/>
  <c r="K4" i="1"/>
  <c r="N4" i="1" s="1"/>
  <c r="K5" i="1" l="1"/>
  <c r="G85" i="1"/>
  <c r="D7" i="1"/>
  <c r="E77" i="1" l="1"/>
  <c r="E73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E62" i="1"/>
  <c r="E59" i="1"/>
  <c r="E56" i="1"/>
  <c r="E74" i="1"/>
  <c r="E71" i="1"/>
  <c r="E68" i="1"/>
  <c r="E42" i="1"/>
  <c r="E39" i="1"/>
  <c r="E36" i="1"/>
  <c r="E10" i="1"/>
  <c r="E7" i="1"/>
  <c r="E54" i="1"/>
  <c r="E48" i="1"/>
  <c r="E66" i="1"/>
  <c r="E63" i="1"/>
  <c r="E60" i="1"/>
  <c r="E34" i="1"/>
  <c r="E31" i="1"/>
  <c r="E28" i="1"/>
  <c r="E23" i="1"/>
  <c r="E67" i="1"/>
  <c r="E78" i="1"/>
  <c r="E75" i="1"/>
  <c r="E72" i="1"/>
  <c r="E46" i="1"/>
  <c r="E43" i="1"/>
  <c r="E40" i="1"/>
  <c r="E14" i="1"/>
  <c r="E11" i="1"/>
  <c r="E8" i="1"/>
  <c r="E58" i="1"/>
  <c r="E55" i="1"/>
  <c r="E52" i="1"/>
  <c r="E26" i="1"/>
  <c r="E20" i="1"/>
  <c r="E70" i="1"/>
  <c r="E64" i="1"/>
  <c r="E47" i="1"/>
  <c r="E44" i="1"/>
  <c r="E19" i="1"/>
  <c r="E35" i="1"/>
  <c r="E51" i="1"/>
  <c r="E22" i="1"/>
  <c r="E16" i="1"/>
  <c r="E32" i="1"/>
  <c r="E50" i="1"/>
  <c r="E18" i="1"/>
  <c r="E15" i="1"/>
  <c r="E12" i="1"/>
  <c r="E76" i="1"/>
  <c r="E38" i="1"/>
  <c r="E30" i="1"/>
  <c r="E27" i="1"/>
  <c r="E24" i="1"/>
  <c r="E79" i="1" l="1"/>
  <c r="F7" i="1"/>
  <c r="G7" i="1" l="1"/>
  <c r="C8" i="1" s="1"/>
  <c r="D8" i="1" l="1"/>
  <c r="F8" i="1" l="1"/>
  <c r="G8" i="1" l="1"/>
  <c r="C9" i="1" s="1"/>
  <c r="D9" i="1" l="1"/>
  <c r="F9" i="1" l="1"/>
  <c r="G9" i="1" l="1"/>
  <c r="C10" i="1" s="1"/>
  <c r="D10" i="1" l="1"/>
  <c r="F10" i="1" l="1"/>
  <c r="G10" i="1" l="1"/>
  <c r="C11" i="1" s="1"/>
  <c r="D11" i="1" l="1"/>
  <c r="F11" i="1" l="1"/>
  <c r="G11" i="1" l="1"/>
  <c r="C12" i="1" s="1"/>
  <c r="D12" i="1" l="1"/>
  <c r="F12" i="1" s="1"/>
  <c r="G12" i="1" s="1"/>
  <c r="C13" i="1" s="1"/>
  <c r="D13" i="1" l="1"/>
  <c r="F13" i="1" s="1"/>
  <c r="G13" i="1" s="1"/>
  <c r="C14" i="1" s="1"/>
  <c r="D14" i="1" l="1"/>
  <c r="F14" i="1" s="1"/>
  <c r="G14" i="1" s="1"/>
  <c r="C15" i="1" s="1"/>
  <c r="G15" i="1" l="1"/>
  <c r="C16" i="1" s="1"/>
  <c r="D15" i="1"/>
  <c r="F15" i="1" s="1"/>
  <c r="D16" i="1" l="1"/>
  <c r="F16" i="1" s="1"/>
  <c r="G16" i="1" s="1"/>
  <c r="C17" i="1" s="1"/>
  <c r="D17" i="1" l="1"/>
  <c r="F17" i="1" s="1"/>
  <c r="G17" i="1" s="1"/>
  <c r="C18" i="1" s="1"/>
  <c r="D18" i="1" l="1"/>
  <c r="F18" i="1" s="1"/>
  <c r="G18" i="1" s="1"/>
  <c r="C19" i="1" s="1"/>
  <c r="D19" i="1" l="1"/>
  <c r="F19" i="1" s="1"/>
  <c r="G19" i="1" s="1"/>
  <c r="C20" i="1" s="1"/>
  <c r="D20" i="1" l="1"/>
  <c r="F20" i="1" s="1"/>
  <c r="G20" i="1" s="1"/>
  <c r="C21" i="1" s="1"/>
  <c r="D21" i="1" l="1"/>
  <c r="F21" i="1" s="1"/>
  <c r="G21" i="1" s="1"/>
  <c r="C22" i="1" s="1"/>
  <c r="D22" i="1" l="1"/>
  <c r="F22" i="1" s="1"/>
  <c r="G22" i="1" s="1"/>
  <c r="C23" i="1" s="1"/>
  <c r="D23" i="1" l="1"/>
  <c r="F23" i="1" s="1"/>
  <c r="G23" i="1" s="1"/>
  <c r="C24" i="1" s="1"/>
  <c r="D24" i="1" l="1"/>
  <c r="F24" i="1" s="1"/>
  <c r="G24" i="1"/>
  <c r="C25" i="1" s="1"/>
  <c r="D25" i="1" l="1"/>
  <c r="F25" i="1" s="1"/>
  <c r="G25" i="1" s="1"/>
  <c r="C26" i="1" s="1"/>
  <c r="G26" i="1" l="1"/>
  <c r="C27" i="1" s="1"/>
  <c r="D26" i="1"/>
  <c r="F26" i="1" s="1"/>
  <c r="D27" i="1" l="1"/>
  <c r="F27" i="1" s="1"/>
  <c r="G27" i="1"/>
  <c r="C28" i="1" s="1"/>
  <c r="D28" i="1" l="1"/>
  <c r="F28" i="1" s="1"/>
  <c r="G28" i="1" s="1"/>
  <c r="C29" i="1" s="1"/>
  <c r="G29" i="1" l="1"/>
  <c r="C30" i="1" s="1"/>
  <c r="D29" i="1"/>
  <c r="F29" i="1" s="1"/>
  <c r="D30" i="1" l="1"/>
  <c r="F30" i="1" s="1"/>
  <c r="G30" i="1" s="1"/>
  <c r="C31" i="1" s="1"/>
  <c r="G31" i="1" l="1"/>
  <c r="C32" i="1" s="1"/>
  <c r="D31" i="1"/>
  <c r="F31" i="1" s="1"/>
  <c r="D32" i="1" l="1"/>
  <c r="F32" i="1" s="1"/>
  <c r="G32" i="1" s="1"/>
  <c r="C33" i="1" s="1"/>
  <c r="D33" i="1" l="1"/>
  <c r="F33" i="1" s="1"/>
  <c r="G33" i="1"/>
  <c r="C34" i="1" s="1"/>
  <c r="D34" i="1" l="1"/>
  <c r="F34" i="1" l="1"/>
  <c r="G34" i="1" s="1"/>
  <c r="K128" i="1"/>
  <c r="C35" i="1" l="1"/>
  <c r="C84" i="1"/>
  <c r="K84" i="1" s="1"/>
  <c r="K85" i="1" l="1"/>
  <c r="C87" i="1"/>
  <c r="G35" i="1"/>
  <c r="C36" i="1" s="1"/>
  <c r="D35" i="1"/>
  <c r="F35" i="1" s="1"/>
  <c r="E121" i="1" l="1"/>
  <c r="E117" i="1"/>
  <c r="E113" i="1"/>
  <c r="E109" i="1"/>
  <c r="E105" i="1"/>
  <c r="E101" i="1"/>
  <c r="E97" i="1"/>
  <c r="E93" i="1"/>
  <c r="E89" i="1"/>
  <c r="E120" i="1"/>
  <c r="E116" i="1"/>
  <c r="E112" i="1"/>
  <c r="E108" i="1"/>
  <c r="E104" i="1"/>
  <c r="E100" i="1"/>
  <c r="E96" i="1"/>
  <c r="E92" i="1"/>
  <c r="E88" i="1"/>
  <c r="E114" i="1"/>
  <c r="E107" i="1"/>
  <c r="E98" i="1"/>
  <c r="E91" i="1"/>
  <c r="E119" i="1"/>
  <c r="E110" i="1"/>
  <c r="E103" i="1"/>
  <c r="E94" i="1"/>
  <c r="E87" i="1"/>
  <c r="E102" i="1"/>
  <c r="E95" i="1"/>
  <c r="E122" i="1"/>
  <c r="E115" i="1"/>
  <c r="E106" i="1"/>
  <c r="E99" i="1"/>
  <c r="E90" i="1"/>
  <c r="E118" i="1"/>
  <c r="E111" i="1"/>
  <c r="D36" i="1"/>
  <c r="F36" i="1" s="1"/>
  <c r="G36" i="1" s="1"/>
  <c r="C37" i="1" s="1"/>
  <c r="D87" i="1"/>
  <c r="D37" i="1" l="1"/>
  <c r="F37" i="1" s="1"/>
  <c r="G37" i="1"/>
  <c r="C38" i="1" s="1"/>
  <c r="E123" i="1"/>
  <c r="F87" i="1"/>
  <c r="G87" i="1" l="1"/>
  <c r="C88" i="1" s="1"/>
  <c r="D38" i="1"/>
  <c r="F38" i="1" s="1"/>
  <c r="G38" i="1" s="1"/>
  <c r="C39" i="1" s="1"/>
  <c r="D39" i="1" l="1"/>
  <c r="F39" i="1" s="1"/>
  <c r="G39" i="1" s="1"/>
  <c r="C40" i="1" s="1"/>
  <c r="D88" i="1"/>
  <c r="D40" i="1" l="1"/>
  <c r="F40" i="1" s="1"/>
  <c r="G40" i="1"/>
  <c r="C41" i="1" s="1"/>
  <c r="F88" i="1"/>
  <c r="G88" i="1" l="1"/>
  <c r="C89" i="1" s="1"/>
  <c r="D41" i="1"/>
  <c r="F41" i="1" s="1"/>
  <c r="G41" i="1" s="1"/>
  <c r="C42" i="1" s="1"/>
  <c r="G42" i="1" l="1"/>
  <c r="C43" i="1" s="1"/>
  <c r="D42" i="1"/>
  <c r="F42" i="1" s="1"/>
  <c r="D89" i="1"/>
  <c r="D43" i="1" l="1"/>
  <c r="F43" i="1" s="1"/>
  <c r="G43" i="1"/>
  <c r="C44" i="1" s="1"/>
  <c r="F89" i="1"/>
  <c r="G89" i="1" l="1"/>
  <c r="C90" i="1" s="1"/>
  <c r="D44" i="1"/>
  <c r="F44" i="1" s="1"/>
  <c r="G44" i="1" s="1"/>
  <c r="C45" i="1" s="1"/>
  <c r="D45" i="1" l="1"/>
  <c r="F45" i="1" s="1"/>
  <c r="G45" i="1"/>
  <c r="C46" i="1" s="1"/>
  <c r="D90" i="1"/>
  <c r="F90" i="1" l="1"/>
  <c r="D46" i="1"/>
  <c r="F46" i="1" s="1"/>
  <c r="G46" i="1" s="1"/>
  <c r="C47" i="1" s="1"/>
  <c r="D47" i="1" l="1"/>
  <c r="F47" i="1" s="1"/>
  <c r="G47" i="1" s="1"/>
  <c r="C48" i="1" s="1"/>
  <c r="G90" i="1"/>
  <c r="C91" i="1" s="1"/>
  <c r="D48" i="1" l="1"/>
  <c r="F48" i="1" s="1"/>
  <c r="G48" i="1"/>
  <c r="C49" i="1" s="1"/>
  <c r="D91" i="1"/>
  <c r="F91" i="1" s="1"/>
  <c r="G91" i="1"/>
  <c r="C92" i="1" s="1"/>
  <c r="D92" i="1" l="1"/>
  <c r="F92" i="1" s="1"/>
  <c r="G92" i="1" s="1"/>
  <c r="C93" i="1" s="1"/>
  <c r="D49" i="1"/>
  <c r="F49" i="1" s="1"/>
  <c r="G49" i="1" s="1"/>
  <c r="C50" i="1" s="1"/>
  <c r="D50" i="1" l="1"/>
  <c r="F50" i="1" s="1"/>
  <c r="G50" i="1" s="1"/>
  <c r="C51" i="1" s="1"/>
  <c r="D93" i="1"/>
  <c r="F93" i="1" s="1"/>
  <c r="G93" i="1" s="1"/>
  <c r="C94" i="1" s="1"/>
  <c r="D94" i="1" l="1"/>
  <c r="F94" i="1" s="1"/>
  <c r="G94" i="1" s="1"/>
  <c r="C95" i="1" s="1"/>
  <c r="D51" i="1"/>
  <c r="F51" i="1" s="1"/>
  <c r="G51" i="1" s="1"/>
  <c r="C52" i="1" s="1"/>
  <c r="D52" i="1" l="1"/>
  <c r="F52" i="1" s="1"/>
  <c r="G52" i="1" s="1"/>
  <c r="C53" i="1" s="1"/>
  <c r="D95" i="1"/>
  <c r="F95" i="1" s="1"/>
  <c r="G95" i="1" s="1"/>
  <c r="C96" i="1" s="1"/>
  <c r="D96" i="1" l="1"/>
  <c r="F96" i="1" s="1"/>
  <c r="G96" i="1" s="1"/>
  <c r="C97" i="1" s="1"/>
  <c r="D53" i="1"/>
  <c r="F53" i="1" s="1"/>
  <c r="G53" i="1"/>
  <c r="C54" i="1" s="1"/>
  <c r="D97" i="1" l="1"/>
  <c r="F97" i="1" s="1"/>
  <c r="G97" i="1" s="1"/>
  <c r="C98" i="1" s="1"/>
  <c r="D54" i="1"/>
  <c r="F54" i="1" s="1"/>
  <c r="G54" i="1" s="1"/>
  <c r="C55" i="1" s="1"/>
  <c r="D55" i="1" l="1"/>
  <c r="F55" i="1" s="1"/>
  <c r="G55" i="1" s="1"/>
  <c r="C56" i="1" s="1"/>
  <c r="D98" i="1"/>
  <c r="F98" i="1" s="1"/>
  <c r="G98" i="1" s="1"/>
  <c r="C99" i="1" s="1"/>
  <c r="D99" i="1" l="1"/>
  <c r="F99" i="1" s="1"/>
  <c r="G99" i="1" s="1"/>
  <c r="C100" i="1" s="1"/>
  <c r="D56" i="1"/>
  <c r="F56" i="1" s="1"/>
  <c r="G56" i="1"/>
  <c r="C57" i="1" s="1"/>
  <c r="D100" i="1" l="1"/>
  <c r="F100" i="1" s="1"/>
  <c r="G100" i="1"/>
  <c r="C101" i="1" s="1"/>
  <c r="D57" i="1"/>
  <c r="F57" i="1" s="1"/>
  <c r="G57" i="1" s="1"/>
  <c r="C58" i="1" s="1"/>
  <c r="D58" i="1" l="1"/>
  <c r="F58" i="1" s="1"/>
  <c r="G58" i="1" s="1"/>
  <c r="C59" i="1" s="1"/>
  <c r="D101" i="1"/>
  <c r="F101" i="1" s="1"/>
  <c r="G101" i="1" s="1"/>
  <c r="C102" i="1" s="1"/>
  <c r="D102" i="1" l="1"/>
  <c r="F102" i="1" s="1"/>
  <c r="G102" i="1" s="1"/>
  <c r="C103" i="1" s="1"/>
  <c r="D59" i="1"/>
  <c r="F59" i="1" s="1"/>
  <c r="G59" i="1"/>
  <c r="C60" i="1" s="1"/>
  <c r="D103" i="1" l="1"/>
  <c r="F103" i="1" s="1"/>
  <c r="G103" i="1" s="1"/>
  <c r="C104" i="1" s="1"/>
  <c r="D60" i="1"/>
  <c r="F60" i="1" s="1"/>
  <c r="G60" i="1" s="1"/>
  <c r="C61" i="1" s="1"/>
  <c r="D61" i="1" l="1"/>
  <c r="F61" i="1" s="1"/>
  <c r="G61" i="1" s="1"/>
  <c r="C62" i="1" s="1"/>
  <c r="D104" i="1"/>
  <c r="F104" i="1" s="1"/>
  <c r="G104" i="1" s="1"/>
  <c r="C105" i="1" s="1"/>
  <c r="D105" i="1" l="1"/>
  <c r="F105" i="1" s="1"/>
  <c r="G105" i="1" s="1"/>
  <c r="C106" i="1" s="1"/>
  <c r="D62" i="1"/>
  <c r="F62" i="1" s="1"/>
  <c r="G62" i="1" s="1"/>
  <c r="C63" i="1" s="1"/>
  <c r="D63" i="1" l="1"/>
  <c r="F63" i="1" s="1"/>
  <c r="G63" i="1" s="1"/>
  <c r="C64" i="1" s="1"/>
  <c r="D106" i="1"/>
  <c r="F106" i="1" s="1"/>
  <c r="G106" i="1" s="1"/>
  <c r="C107" i="1" s="1"/>
  <c r="D107" i="1" l="1"/>
  <c r="F107" i="1" s="1"/>
  <c r="G107" i="1"/>
  <c r="C108" i="1" s="1"/>
  <c r="D64" i="1"/>
  <c r="F64" i="1" s="1"/>
  <c r="G64" i="1" s="1"/>
  <c r="C65" i="1" s="1"/>
  <c r="D65" i="1" l="1"/>
  <c r="F65" i="1" s="1"/>
  <c r="G65" i="1" s="1"/>
  <c r="C66" i="1" s="1"/>
  <c r="D108" i="1"/>
  <c r="F108" i="1" s="1"/>
  <c r="G108" i="1" s="1"/>
  <c r="C109" i="1" s="1"/>
  <c r="D109" i="1" l="1"/>
  <c r="F109" i="1" s="1"/>
  <c r="G109" i="1" s="1"/>
  <c r="C110" i="1" s="1"/>
  <c r="D66" i="1"/>
  <c r="F66" i="1" s="1"/>
  <c r="G66" i="1" s="1"/>
  <c r="C67" i="1" s="1"/>
  <c r="D67" i="1" l="1"/>
  <c r="F67" i="1" s="1"/>
  <c r="G67" i="1" s="1"/>
  <c r="C68" i="1" s="1"/>
  <c r="D110" i="1"/>
  <c r="F110" i="1" s="1"/>
  <c r="G110" i="1" s="1"/>
  <c r="C111" i="1" s="1"/>
  <c r="D111" i="1" l="1"/>
  <c r="F111" i="1" s="1"/>
  <c r="G111" i="1" s="1"/>
  <c r="C112" i="1" s="1"/>
  <c r="D68" i="1"/>
  <c r="F68" i="1" s="1"/>
  <c r="G68" i="1"/>
  <c r="C69" i="1" s="1"/>
  <c r="D112" i="1" l="1"/>
  <c r="F112" i="1" s="1"/>
  <c r="G112" i="1" s="1"/>
  <c r="C113" i="1" s="1"/>
  <c r="D69" i="1"/>
  <c r="F69" i="1" s="1"/>
  <c r="G69" i="1" s="1"/>
  <c r="C70" i="1" s="1"/>
  <c r="D70" i="1" l="1"/>
  <c r="F70" i="1" s="1"/>
  <c r="G70" i="1" s="1"/>
  <c r="C71" i="1" s="1"/>
  <c r="D113" i="1"/>
  <c r="F113" i="1" s="1"/>
  <c r="G113" i="1" s="1"/>
  <c r="C114" i="1" s="1"/>
  <c r="D114" i="1" l="1"/>
  <c r="F114" i="1" s="1"/>
  <c r="G114" i="1" s="1"/>
  <c r="C115" i="1" s="1"/>
  <c r="D71" i="1"/>
  <c r="F71" i="1" s="1"/>
  <c r="G71" i="1"/>
  <c r="C72" i="1" s="1"/>
  <c r="D115" i="1" l="1"/>
  <c r="F115" i="1" s="1"/>
  <c r="G115" i="1" s="1"/>
  <c r="C116" i="1" s="1"/>
  <c r="D72" i="1"/>
  <c r="F72" i="1" s="1"/>
  <c r="G72" i="1" s="1"/>
  <c r="C73" i="1" s="1"/>
  <c r="D73" i="1" l="1"/>
  <c r="F73" i="1" s="1"/>
  <c r="G73" i="1" s="1"/>
  <c r="C74" i="1" s="1"/>
  <c r="D116" i="1"/>
  <c r="F116" i="1" s="1"/>
  <c r="G116" i="1"/>
  <c r="C117" i="1" s="1"/>
  <c r="D74" i="1" l="1"/>
  <c r="F74" i="1" s="1"/>
  <c r="G74" i="1" s="1"/>
  <c r="C75" i="1" s="1"/>
  <c r="D117" i="1"/>
  <c r="F117" i="1" s="1"/>
  <c r="G117" i="1" s="1"/>
  <c r="C118" i="1" s="1"/>
  <c r="D118" i="1" l="1"/>
  <c r="F118" i="1" s="1"/>
  <c r="G118" i="1" s="1"/>
  <c r="C119" i="1" s="1"/>
  <c r="D75" i="1"/>
  <c r="F75" i="1" s="1"/>
  <c r="G75" i="1" s="1"/>
  <c r="C76" i="1" s="1"/>
  <c r="D76" i="1" l="1"/>
  <c r="F76" i="1" s="1"/>
  <c r="G76" i="1"/>
  <c r="C77" i="1" s="1"/>
  <c r="D119" i="1"/>
  <c r="F119" i="1" s="1"/>
  <c r="G119" i="1" s="1"/>
  <c r="C120" i="1" s="1"/>
  <c r="D120" i="1" l="1"/>
  <c r="F120" i="1" s="1"/>
  <c r="G120" i="1"/>
  <c r="C121" i="1" s="1"/>
  <c r="D77" i="1"/>
  <c r="F77" i="1" s="1"/>
  <c r="C78" i="1" s="1"/>
  <c r="D78" i="1" l="1"/>
  <c r="D121" i="1"/>
  <c r="F121" i="1" s="1"/>
  <c r="G121" i="1" s="1"/>
  <c r="C122" i="1" s="1"/>
  <c r="D122" i="1" l="1"/>
  <c r="F78" i="1"/>
  <c r="D79" i="1"/>
  <c r="B80" i="1" l="1"/>
  <c r="K127" i="1"/>
  <c r="F79" i="1"/>
  <c r="G78" i="1"/>
  <c r="F122" i="1"/>
  <c r="D123" i="1"/>
  <c r="K129" i="1" s="1"/>
  <c r="K130" i="1" s="1"/>
  <c r="F123" i="1" l="1"/>
  <c r="G122" i="1"/>
  <c r="K131" i="1"/>
  <c r="B133" i="1" s="1"/>
</calcChain>
</file>

<file path=xl/sharedStrings.xml><?xml version="1.0" encoding="utf-8"?>
<sst xmlns="http://schemas.openxmlformats.org/spreadsheetml/2006/main" count="45" uniqueCount="32">
  <si>
    <t>TABLAS DE AMORTIZACIÓN – EJERCICIO CRÉDITO CON REFINANCIAMIENTO</t>
  </si>
  <si>
    <t>a)  CRÉDITO ORIGINAL  –  Cuota Fija  –  72 meses</t>
  </si>
  <si>
    <t>Préstamo</t>
  </si>
  <si>
    <t>pesos</t>
  </si>
  <si>
    <t>Tasa</t>
  </si>
  <si>
    <t>atv</t>
  </si>
  <si>
    <t>→  i_tv</t>
  </si>
  <si>
    <t>TV</t>
  </si>
  <si>
    <t>→  i_mv</t>
  </si>
  <si>
    <t>Plazo</t>
  </si>
  <si>
    <t>meses</t>
  </si>
  <si>
    <t>Modalidad</t>
  </si>
  <si>
    <t>Cuota Fija</t>
  </si>
  <si>
    <t>Cuota mensual</t>
  </si>
  <si>
    <t>Período</t>
  </si>
  <si>
    <t>Saldo Inicial</t>
  </si>
  <si>
    <t>Interés</t>
  </si>
  <si>
    <t>Cuota</t>
  </si>
  <si>
    <t>Abono K</t>
  </si>
  <si>
    <t>Saldo Final</t>
  </si>
  <si>
    <t>TOTAL</t>
  </si>
  <si>
    <t>b)  REFINANCIAMIENTO  –  Saldo mes 28  +  Abono extra  →  Nuevo crédito 36 meses</t>
  </si>
  <si>
    <t>Saldo final mes 28</t>
  </si>
  <si>
    <t>Abono extra</t>
  </si>
  <si>
    <t>Saldo refinanciado</t>
  </si>
  <si>
    <t>mv</t>
  </si>
  <si>
    <t>c)  RESUMEN COMPARATIVO – Total intereses y análisis de ahorro</t>
  </si>
  <si>
    <t>Intereses crédito 1 (meses 1–72, sin refinanciar)</t>
  </si>
  <si>
    <t>Intereses crédito 1 (meses 1–28, con refinanciamiento)</t>
  </si>
  <si>
    <t>Intereses crédito 2 (meses 29–64, 36 meses)</t>
  </si>
  <si>
    <t>Total intereses CON refinanciamiento</t>
  </si>
  <si>
    <t>AHORRO TOTAL POR REFINANCIAMIENTO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</si>
</sst>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00%"/>
  </numFmts>
  <fonts count="15" x14ac:knownFonts="1">
    <font>
      <sz val="11"/>
      <color theme="1"/>
      <name val="Calibri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70C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sz val="11"/>
      <color theme="1"/>
      <name val="Calibri"/>
    </font>
    <font>
      <b/>
      <sz val="10"/>
      <color rgb="FFC00000"/>
      <name val="Arial"/>
    </font>
    <font>
      <sz val="9"/>
      <color theme="1"/>
      <name val="Arial"/>
    </font>
    <font>
      <b/>
      <sz val="10"/>
      <color rgb="FF1F4E79"/>
      <name val="Arial"/>
    </font>
    <font>
      <b/>
      <sz val="10"/>
      <color rgb="FF375623"/>
      <name val="Arial"/>
    </font>
    <font>
      <b/>
      <sz val="10"/>
      <color rgb="FF7030A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30A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/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4" fontId="11" fillId="4" borderId="1" xfId="0" applyNumberFormat="1" applyFont="1" applyFill="1" applyBorder="1" applyAlignment="1">
      <alignment horizontal="right" vertical="center"/>
    </xf>
    <xf numFmtId="4" fontId="11" fillId="5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4" fontId="13" fillId="0" borderId="1" xfId="0" applyNumberFormat="1" applyFont="1" applyBorder="1" applyAlignment="1">
      <alignment horizontal="right" vertical="center"/>
    </xf>
    <xf numFmtId="4" fontId="14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0" fontId="0" fillId="0" borderId="0" xfId="0"/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/>
    <xf numFmtId="0" fontId="13" fillId="0" borderId="2" xfId="0" applyFont="1" applyBorder="1" applyAlignment="1">
      <alignment horizontal="left" vertical="center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16" workbookViewId="0">
      <selection activeCell="I75" sqref="I75"/>
    </sheetView>
  </sheetViews>
  <sheetFormatPr baseColWidth="10" defaultColWidth="14.453125" defaultRowHeight="14.5" x14ac:dyDescent="0.35"/>
  <cols>
    <col min="1" max="1" width="2" style="22" customWidth="1"/>
    <col min="2" max="2" width="12" style="22" customWidth="1"/>
    <col min="3" max="6" width="18" style="22" customWidth="1"/>
    <col min="7" max="7" width="20" style="22" customWidth="1"/>
    <col min="8" max="8" width="8" style="22" customWidth="1"/>
    <col min="9" max="9" width="2" style="22" customWidth="1"/>
    <col min="10" max="11" width="20" style="22" customWidth="1"/>
    <col min="12" max="12" width="8" style="22" customWidth="1"/>
    <col min="13" max="13" width="14" style="22" customWidth="1"/>
    <col min="14" max="14" width="20" style="22" customWidth="1"/>
    <col min="15" max="26" width="8.7265625" style="22" customWidth="1"/>
  </cols>
  <sheetData>
    <row r="1" spans="2:14" s="22" customFormat="1" ht="16" customHeight="1" x14ac:dyDescent="0.35">
      <c r="B1" s="37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2:14" s="22" customFormat="1" ht="12" customHeight="1" x14ac:dyDescent="0.35">
      <c r="B3" s="43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2:14" x14ac:dyDescent="0.35">
      <c r="B4" s="1" t="s">
        <v>2</v>
      </c>
      <c r="C4" s="2">
        <v>104500000</v>
      </c>
      <c r="D4" s="3" t="s">
        <v>3</v>
      </c>
      <c r="F4" s="1" t="s">
        <v>4</v>
      </c>
      <c r="G4" s="23">
        <v>0.25</v>
      </c>
      <c r="H4" s="3" t="s">
        <v>5</v>
      </c>
      <c r="J4" s="1" t="s">
        <v>6</v>
      </c>
      <c r="K4" s="24">
        <f>G4/4</f>
        <v>6.25E-2</v>
      </c>
      <c r="L4" s="3" t="s">
        <v>7</v>
      </c>
      <c r="M4" s="1" t="s">
        <v>8</v>
      </c>
      <c r="N4" s="25">
        <f>(1+K4)^(1/3)-1</f>
        <v>2.0413775479336982E-2</v>
      </c>
    </row>
    <row r="5" spans="2:14" x14ac:dyDescent="0.35">
      <c r="B5" s="1" t="s">
        <v>9</v>
      </c>
      <c r="C5" s="2">
        <v>72</v>
      </c>
      <c r="D5" s="4" t="s">
        <v>10</v>
      </c>
      <c r="F5" s="1" t="s">
        <v>11</v>
      </c>
      <c r="G5" s="4" t="s">
        <v>12</v>
      </c>
      <c r="J5" s="1" t="s">
        <v>13</v>
      </c>
      <c r="K5" s="5">
        <f>C4*(N4*(1+N4)^C5)/((1+N4)^C5-1)</f>
        <v>2782737.3406088697</v>
      </c>
    </row>
    <row r="6" spans="2:14" x14ac:dyDescent="0.35"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</row>
    <row r="7" spans="2:14" x14ac:dyDescent="0.35">
      <c r="B7" s="26">
        <f>1</f>
        <v>1</v>
      </c>
      <c r="C7" s="7">
        <f>$C$4</f>
        <v>104500000</v>
      </c>
      <c r="D7" s="7">
        <f t="shared" ref="D7:D38" si="0">C7*$N$4</f>
        <v>2133239.5375907146</v>
      </c>
      <c r="E7" s="7">
        <f t="shared" ref="E7:E38" si="1">$K$5</f>
        <v>2782737.3406088697</v>
      </c>
      <c r="F7" s="7">
        <f t="shared" ref="F7:F38" si="2">E7-D7</f>
        <v>649497.80301815504</v>
      </c>
      <c r="G7" s="7">
        <f t="shared" ref="G7:G38" si="3">C7-F7</f>
        <v>103850502.19698185</v>
      </c>
    </row>
    <row r="8" spans="2:14" x14ac:dyDescent="0.35">
      <c r="B8" s="27">
        <f t="shared" ref="B8:B39" si="4">B7+1</f>
        <v>2</v>
      </c>
      <c r="C8" s="8">
        <f t="shared" ref="C8:C39" si="5">G7</f>
        <v>103850502.19698185</v>
      </c>
      <c r="D8" s="8">
        <f t="shared" si="0"/>
        <v>2119980.8352655792</v>
      </c>
      <c r="E8" s="8">
        <f t="shared" si="1"/>
        <v>2782737.3406088697</v>
      </c>
      <c r="F8" s="8">
        <f t="shared" si="2"/>
        <v>662756.50534329051</v>
      </c>
      <c r="G8" s="8">
        <f t="shared" si="3"/>
        <v>103187745.69163856</v>
      </c>
    </row>
    <row r="9" spans="2:14" x14ac:dyDescent="0.35">
      <c r="B9" s="26">
        <f t="shared" si="4"/>
        <v>3</v>
      </c>
      <c r="C9" s="7">
        <f t="shared" si="5"/>
        <v>103187745.69163856</v>
      </c>
      <c r="D9" s="7">
        <f t="shared" si="0"/>
        <v>2106451.4727680315</v>
      </c>
      <c r="E9" s="7">
        <f t="shared" si="1"/>
        <v>2782737.3406088697</v>
      </c>
      <c r="F9" s="7">
        <f t="shared" si="2"/>
        <v>676285.86784083815</v>
      </c>
      <c r="G9" s="7">
        <f t="shared" si="3"/>
        <v>102511459.82379772</v>
      </c>
    </row>
    <row r="10" spans="2:14" x14ac:dyDescent="0.35">
      <c r="B10" s="27">
        <f t="shared" si="4"/>
        <v>4</v>
      </c>
      <c r="C10" s="8">
        <f t="shared" si="5"/>
        <v>102511459.82379772</v>
      </c>
      <c r="D10" s="8">
        <f t="shared" si="0"/>
        <v>2092645.9249020801</v>
      </c>
      <c r="E10" s="8">
        <f t="shared" si="1"/>
        <v>2782737.3406088697</v>
      </c>
      <c r="F10" s="8">
        <f t="shared" si="2"/>
        <v>690091.41570678959</v>
      </c>
      <c r="G10" s="8">
        <f t="shared" si="3"/>
        <v>101821368.40809093</v>
      </c>
    </row>
    <row r="11" spans="2:14" x14ac:dyDescent="0.35">
      <c r="B11" s="26">
        <f t="shared" si="4"/>
        <v>5</v>
      </c>
      <c r="C11" s="7">
        <f t="shared" si="5"/>
        <v>101821368.40809093</v>
      </c>
      <c r="D11" s="7">
        <f t="shared" si="0"/>
        <v>2078558.5536816239</v>
      </c>
      <c r="E11" s="7">
        <f t="shared" si="1"/>
        <v>2782737.3406088697</v>
      </c>
      <c r="F11" s="7">
        <f t="shared" si="2"/>
        <v>704178.78692724579</v>
      </c>
      <c r="G11" s="7">
        <f t="shared" si="3"/>
        <v>101117189.62116368</v>
      </c>
    </row>
    <row r="12" spans="2:14" x14ac:dyDescent="0.35">
      <c r="B12" s="27">
        <f t="shared" si="4"/>
        <v>6</v>
      </c>
      <c r="C12" s="8">
        <f t="shared" si="5"/>
        <v>101117189.62116368</v>
      </c>
      <c r="D12" s="8">
        <f t="shared" si="0"/>
        <v>2064183.6060279792</v>
      </c>
      <c r="E12" s="8">
        <f t="shared" si="1"/>
        <v>2782737.3406088697</v>
      </c>
      <c r="F12" s="8">
        <f t="shared" si="2"/>
        <v>718553.73458089051</v>
      </c>
      <c r="G12" s="8">
        <f t="shared" si="3"/>
        <v>100398635.88658279</v>
      </c>
    </row>
    <row r="13" spans="2:14" x14ac:dyDescent="0.35">
      <c r="B13" s="26">
        <f t="shared" si="4"/>
        <v>7</v>
      </c>
      <c r="C13" s="7">
        <f t="shared" si="5"/>
        <v>100398635.88658279</v>
      </c>
      <c r="D13" s="7">
        <f t="shared" si="0"/>
        <v>2049515.2114204057</v>
      </c>
      <c r="E13" s="7">
        <f t="shared" si="1"/>
        <v>2782737.3406088697</v>
      </c>
      <c r="F13" s="7">
        <f t="shared" si="2"/>
        <v>733222.12918846402</v>
      </c>
      <c r="G13" s="7">
        <f t="shared" si="3"/>
        <v>99665413.757394329</v>
      </c>
    </row>
    <row r="14" spans="2:14" x14ac:dyDescent="0.35">
      <c r="B14" s="27">
        <f t="shared" si="4"/>
        <v>8</v>
      </c>
      <c r="C14" s="8">
        <f t="shared" si="5"/>
        <v>99665413.757394329</v>
      </c>
      <c r="D14" s="8">
        <f t="shared" si="0"/>
        <v>2034547.379498671</v>
      </c>
      <c r="E14" s="8">
        <f t="shared" si="1"/>
        <v>2782737.3406088697</v>
      </c>
      <c r="F14" s="8">
        <f t="shared" si="2"/>
        <v>748189.96111019864</v>
      </c>
      <c r="G14" s="8">
        <f t="shared" si="3"/>
        <v>98917223.796284124</v>
      </c>
    </row>
    <row r="15" spans="2:14" x14ac:dyDescent="0.35">
      <c r="B15" s="26">
        <f t="shared" si="4"/>
        <v>9</v>
      </c>
      <c r="C15" s="7">
        <f t="shared" si="5"/>
        <v>98917223.796284124</v>
      </c>
      <c r="D15" s="7">
        <f t="shared" si="0"/>
        <v>2019273.9976166734</v>
      </c>
      <c r="E15" s="7">
        <f t="shared" si="1"/>
        <v>2782737.3406088697</v>
      </c>
      <c r="F15" s="7">
        <f t="shared" si="2"/>
        <v>763463.34299219633</v>
      </c>
      <c r="G15" s="7">
        <f t="shared" si="3"/>
        <v>98153760.453291923</v>
      </c>
    </row>
    <row r="16" spans="2:14" x14ac:dyDescent="0.35">
      <c r="B16" s="27">
        <f t="shared" si="4"/>
        <v>10</v>
      </c>
      <c r="C16" s="8">
        <f t="shared" si="5"/>
        <v>98153760.453291923</v>
      </c>
      <c r="D16" s="8">
        <f t="shared" si="0"/>
        <v>2003688.8283461267</v>
      </c>
      <c r="E16" s="8">
        <f t="shared" si="1"/>
        <v>2782737.3406088697</v>
      </c>
      <c r="F16" s="8">
        <f t="shared" si="2"/>
        <v>779048.51226274297</v>
      </c>
      <c r="G16" s="8">
        <f t="shared" si="3"/>
        <v>97374711.941029176</v>
      </c>
    </row>
    <row r="17" spans="2:7" x14ac:dyDescent="0.35">
      <c r="B17" s="26">
        <f t="shared" si="4"/>
        <v>11</v>
      </c>
      <c r="C17" s="7">
        <f t="shared" si="5"/>
        <v>97374711.941029176</v>
      </c>
      <c r="D17" s="7">
        <f t="shared" si="0"/>
        <v>1987785.5069292835</v>
      </c>
      <c r="E17" s="7">
        <f t="shared" si="1"/>
        <v>2782737.3406088697</v>
      </c>
      <c r="F17" s="7">
        <f t="shared" si="2"/>
        <v>794951.83367958618</v>
      </c>
      <c r="G17" s="7">
        <f t="shared" si="3"/>
        <v>96579760.107349589</v>
      </c>
    </row>
    <row r="18" spans="2:7" x14ac:dyDescent="0.35">
      <c r="B18" s="27">
        <f t="shared" si="4"/>
        <v>12</v>
      </c>
      <c r="C18" s="8">
        <f t="shared" si="5"/>
        <v>96579760.107349589</v>
      </c>
      <c r="D18" s="8">
        <f t="shared" si="0"/>
        <v>1971557.538679661</v>
      </c>
      <c r="E18" s="8">
        <f t="shared" si="1"/>
        <v>2782737.3406088697</v>
      </c>
      <c r="F18" s="8">
        <f t="shared" si="2"/>
        <v>811179.80192920868</v>
      </c>
      <c r="G18" s="8">
        <f t="shared" si="3"/>
        <v>95768580.305420384</v>
      </c>
    </row>
    <row r="19" spans="2:7" x14ac:dyDescent="0.35">
      <c r="B19" s="26">
        <f t="shared" si="4"/>
        <v>13</v>
      </c>
      <c r="C19" s="7">
        <f t="shared" si="5"/>
        <v>95768580.305420384</v>
      </c>
      <c r="D19" s="7">
        <f t="shared" si="0"/>
        <v>1954998.2963297053</v>
      </c>
      <c r="E19" s="7">
        <f t="shared" si="1"/>
        <v>2782737.3406088697</v>
      </c>
      <c r="F19" s="7">
        <f t="shared" si="2"/>
        <v>827739.0442791644</v>
      </c>
      <c r="G19" s="7">
        <f t="shared" si="3"/>
        <v>94940841.261141226</v>
      </c>
    </row>
    <row r="20" spans="2:7" x14ac:dyDescent="0.35">
      <c r="B20" s="27">
        <f t="shared" si="4"/>
        <v>14</v>
      </c>
      <c r="C20" s="8">
        <f t="shared" si="5"/>
        <v>94940841.261141226</v>
      </c>
      <c r="D20" s="8">
        <f t="shared" si="0"/>
        <v>1938101.0173243096</v>
      </c>
      <c r="E20" s="8">
        <f t="shared" si="1"/>
        <v>2782737.3406088697</v>
      </c>
      <c r="F20" s="8">
        <f t="shared" si="2"/>
        <v>844636.32328456012</v>
      </c>
      <c r="G20" s="8">
        <f t="shared" si="3"/>
        <v>94096204.937856659</v>
      </c>
    </row>
    <row r="21" spans="2:7" s="22" customFormat="1" ht="10.5" customHeight="1" x14ac:dyDescent="0.35">
      <c r="B21" s="26">
        <f t="shared" si="4"/>
        <v>15</v>
      </c>
      <c r="C21" s="7">
        <f t="shared" si="5"/>
        <v>94096204.937856659</v>
      </c>
      <c r="D21" s="7">
        <f t="shared" si="0"/>
        <v>1920858.8010590856</v>
      </c>
      <c r="E21" s="7">
        <f t="shared" si="1"/>
        <v>2782737.3406088697</v>
      </c>
      <c r="F21" s="7">
        <f t="shared" si="2"/>
        <v>861878.53954978404</v>
      </c>
      <c r="G21" s="7">
        <f t="shared" si="3"/>
        <v>93234326.398306876</v>
      </c>
    </row>
    <row r="22" spans="2:7" s="22" customFormat="1" ht="10.5" customHeight="1" x14ac:dyDescent="0.35">
      <c r="B22" s="27">
        <f t="shared" si="4"/>
        <v>16</v>
      </c>
      <c r="C22" s="8">
        <f t="shared" si="5"/>
        <v>93234326.398306876</v>
      </c>
      <c r="D22" s="8">
        <f t="shared" si="0"/>
        <v>1903264.6060622577</v>
      </c>
      <c r="E22" s="8">
        <f t="shared" si="1"/>
        <v>2782737.3406088697</v>
      </c>
      <c r="F22" s="8">
        <f t="shared" si="2"/>
        <v>879472.73454661202</v>
      </c>
      <c r="G22" s="8">
        <f t="shared" si="3"/>
        <v>92354853.66376026</v>
      </c>
    </row>
    <row r="23" spans="2:7" s="22" customFormat="1" ht="10.5" customHeight="1" x14ac:dyDescent="0.35">
      <c r="B23" s="26">
        <f t="shared" si="4"/>
        <v>17</v>
      </c>
      <c r="C23" s="7">
        <f t="shared" si="5"/>
        <v>92354853.66376026</v>
      </c>
      <c r="D23" s="7">
        <f t="shared" si="0"/>
        <v>1885311.2471190244</v>
      </c>
      <c r="E23" s="7">
        <f t="shared" si="1"/>
        <v>2782737.3406088697</v>
      </c>
      <c r="F23" s="7">
        <f t="shared" si="2"/>
        <v>897426.09348984528</v>
      </c>
      <c r="G23" s="7">
        <f t="shared" si="3"/>
        <v>91457427.570270419</v>
      </c>
    </row>
    <row r="24" spans="2:7" s="22" customFormat="1" ht="10.5" customHeight="1" x14ac:dyDescent="0.35">
      <c r="B24" s="27">
        <f t="shared" si="4"/>
        <v>18</v>
      </c>
      <c r="C24" s="8">
        <f t="shared" si="5"/>
        <v>91457427.570270419</v>
      </c>
      <c r="D24" s="8">
        <f t="shared" si="0"/>
        <v>1866991.3923372242</v>
      </c>
      <c r="E24" s="8">
        <f t="shared" si="1"/>
        <v>2782737.3406088697</v>
      </c>
      <c r="F24" s="8">
        <f t="shared" si="2"/>
        <v>915745.94827164547</v>
      </c>
      <c r="G24" s="8">
        <f t="shared" si="3"/>
        <v>90541681.621998772</v>
      </c>
    </row>
    <row r="25" spans="2:7" s="22" customFormat="1" ht="10.5" customHeight="1" x14ac:dyDescent="0.35">
      <c r="B25" s="26">
        <f t="shared" si="4"/>
        <v>19</v>
      </c>
      <c r="C25" s="7">
        <f t="shared" si="5"/>
        <v>90541681.621998772</v>
      </c>
      <c r="D25" s="7">
        <f t="shared" si="0"/>
        <v>1848297.5601530944</v>
      </c>
      <c r="E25" s="7">
        <f t="shared" si="1"/>
        <v>2782737.3406088697</v>
      </c>
      <c r="F25" s="7">
        <f t="shared" si="2"/>
        <v>934439.78045577533</v>
      </c>
      <c r="G25" s="7">
        <f t="shared" si="3"/>
        <v>89607241.841543004</v>
      </c>
    </row>
    <row r="26" spans="2:7" s="22" customFormat="1" ht="10.5" customHeight="1" x14ac:dyDescent="0.35">
      <c r="B26" s="27">
        <f t="shared" si="4"/>
        <v>20</v>
      </c>
      <c r="C26" s="8">
        <f t="shared" si="5"/>
        <v>89607241.841543004</v>
      </c>
      <c r="D26" s="8">
        <f t="shared" si="0"/>
        <v>1829222.1162759094</v>
      </c>
      <c r="E26" s="8">
        <f t="shared" si="1"/>
        <v>2782737.3406088697</v>
      </c>
      <c r="F26" s="8">
        <f t="shared" si="2"/>
        <v>953515.22433296032</v>
      </c>
      <c r="G26" s="8">
        <f t="shared" si="3"/>
        <v>88653726.617210045</v>
      </c>
    </row>
    <row r="27" spans="2:7" s="22" customFormat="1" ht="10.5" customHeight="1" x14ac:dyDescent="0.35">
      <c r="B27" s="26">
        <f t="shared" si="4"/>
        <v>21</v>
      </c>
      <c r="C27" s="7">
        <f t="shared" si="5"/>
        <v>88653726.617210045</v>
      </c>
      <c r="D27" s="7">
        <f t="shared" si="0"/>
        <v>1809757.2705702467</v>
      </c>
      <c r="E27" s="7">
        <f t="shared" si="1"/>
        <v>2782737.3406088697</v>
      </c>
      <c r="F27" s="7">
        <f t="shared" si="2"/>
        <v>972980.07003862294</v>
      </c>
      <c r="G27" s="7">
        <f t="shared" si="3"/>
        <v>87680746.547171429</v>
      </c>
    </row>
    <row r="28" spans="2:7" s="22" customFormat="1" ht="10.5" customHeight="1" x14ac:dyDescent="0.35">
      <c r="B28" s="27">
        <f t="shared" si="4"/>
        <v>22</v>
      </c>
      <c r="C28" s="8">
        <f t="shared" si="5"/>
        <v>87680746.547171429</v>
      </c>
      <c r="D28" s="8">
        <f t="shared" si="0"/>
        <v>1789895.0738746088</v>
      </c>
      <c r="E28" s="8">
        <f t="shared" si="1"/>
        <v>2782737.3406088697</v>
      </c>
      <c r="F28" s="8">
        <f t="shared" si="2"/>
        <v>992842.26673426083</v>
      </c>
      <c r="G28" s="8">
        <f t="shared" si="3"/>
        <v>86687904.280437171</v>
      </c>
    </row>
    <row r="29" spans="2:7" s="22" customFormat="1" ht="10.5" customHeight="1" x14ac:dyDescent="0.35">
      <c r="B29" s="26">
        <f t="shared" si="4"/>
        <v>23</v>
      </c>
      <c r="C29" s="7">
        <f t="shared" si="5"/>
        <v>86687904.280437171</v>
      </c>
      <c r="D29" s="7">
        <f t="shared" si="0"/>
        <v>1769627.4147550997</v>
      </c>
      <c r="E29" s="7">
        <f t="shared" si="1"/>
        <v>2782737.3406088697</v>
      </c>
      <c r="F29" s="7">
        <f t="shared" si="2"/>
        <v>1013109.92585377</v>
      </c>
      <c r="G29" s="7">
        <f t="shared" si="3"/>
        <v>85674794.354583398</v>
      </c>
    </row>
    <row r="30" spans="2:7" s="22" customFormat="1" ht="10.5" customHeight="1" x14ac:dyDescent="0.35">
      <c r="B30" s="27">
        <f t="shared" si="4"/>
        <v>24</v>
      </c>
      <c r="C30" s="8">
        <f t="shared" si="5"/>
        <v>85674794.354583398</v>
      </c>
      <c r="D30" s="8">
        <f t="shared" si="0"/>
        <v>1748946.016192833</v>
      </c>
      <c r="E30" s="8">
        <f t="shared" si="1"/>
        <v>2782737.3406088697</v>
      </c>
      <c r="F30" s="8">
        <f t="shared" si="2"/>
        <v>1033791.3244160367</v>
      </c>
      <c r="G30" s="8">
        <f t="shared" si="3"/>
        <v>84641003.030167356</v>
      </c>
    </row>
    <row r="31" spans="2:7" s="22" customFormat="1" ht="10.5" customHeight="1" x14ac:dyDescent="0.35">
      <c r="B31" s="26">
        <f t="shared" si="4"/>
        <v>25</v>
      </c>
      <c r="C31" s="7">
        <f t="shared" si="5"/>
        <v>84641003.030167356</v>
      </c>
      <c r="D31" s="7">
        <f t="shared" si="0"/>
        <v>1727842.4322037175</v>
      </c>
      <c r="E31" s="7">
        <f t="shared" si="1"/>
        <v>2782737.3406088697</v>
      </c>
      <c r="F31" s="7">
        <f t="shared" si="2"/>
        <v>1054894.9084051521</v>
      </c>
      <c r="G31" s="7">
        <f t="shared" si="3"/>
        <v>83586108.121762201</v>
      </c>
    </row>
    <row r="32" spans="2:7" s="22" customFormat="1" ht="10.5" customHeight="1" x14ac:dyDescent="0.35">
      <c r="B32" s="27">
        <f t="shared" si="4"/>
        <v>26</v>
      </c>
      <c r="C32" s="8">
        <f t="shared" si="5"/>
        <v>83586108.121762201</v>
      </c>
      <c r="D32" s="8">
        <f t="shared" si="0"/>
        <v>1706308.044389239</v>
      </c>
      <c r="E32" s="8">
        <f t="shared" si="1"/>
        <v>2782737.3406088697</v>
      </c>
      <c r="F32" s="8">
        <f t="shared" si="2"/>
        <v>1076429.2962196306</v>
      </c>
      <c r="G32" s="8">
        <f t="shared" si="3"/>
        <v>82509678.825542569</v>
      </c>
    </row>
    <row r="33" spans="2:7" s="22" customFormat="1" ht="10.5" customHeight="1" x14ac:dyDescent="0.35">
      <c r="B33" s="26">
        <f t="shared" si="4"/>
        <v>27</v>
      </c>
      <c r="C33" s="7">
        <f t="shared" si="5"/>
        <v>82509678.825542569</v>
      </c>
      <c r="D33" s="7">
        <f t="shared" si="0"/>
        <v>1684334.0584168306</v>
      </c>
      <c r="E33" s="7">
        <f t="shared" si="1"/>
        <v>2782737.3406088697</v>
      </c>
      <c r="F33" s="7">
        <f t="shared" si="2"/>
        <v>1098403.2821920391</v>
      </c>
      <c r="G33" s="7">
        <f t="shared" si="3"/>
        <v>81411275.543350533</v>
      </c>
    </row>
    <row r="34" spans="2:7" s="22" customFormat="1" ht="10.5" customHeight="1" x14ac:dyDescent="0.35">
      <c r="B34" s="28">
        <f t="shared" si="4"/>
        <v>28</v>
      </c>
      <c r="C34" s="9">
        <f t="shared" si="5"/>
        <v>81411275.543350533</v>
      </c>
      <c r="D34" s="9">
        <f t="shared" si="0"/>
        <v>1661911.5004283956</v>
      </c>
      <c r="E34" s="9">
        <f t="shared" si="1"/>
        <v>2782737.3406088697</v>
      </c>
      <c r="F34" s="9">
        <f t="shared" si="2"/>
        <v>1120825.8401804741</v>
      </c>
      <c r="G34" s="9">
        <f t="shared" si="3"/>
        <v>80290449.703170061</v>
      </c>
    </row>
    <row r="35" spans="2:7" s="22" customFormat="1" ht="10.5" customHeight="1" x14ac:dyDescent="0.35">
      <c r="B35" s="26">
        <f t="shared" si="4"/>
        <v>29</v>
      </c>
      <c r="C35" s="7">
        <f t="shared" si="5"/>
        <v>80290449.703170061</v>
      </c>
      <c r="D35" s="7">
        <f t="shared" si="0"/>
        <v>1639031.2133755123</v>
      </c>
      <c r="E35" s="7">
        <f t="shared" si="1"/>
        <v>2782737.3406088697</v>
      </c>
      <c r="F35" s="7">
        <f t="shared" si="2"/>
        <v>1143706.1272333574</v>
      </c>
      <c r="G35" s="7">
        <f t="shared" si="3"/>
        <v>79146743.575936705</v>
      </c>
    </row>
    <row r="36" spans="2:7" s="22" customFormat="1" ht="10.5" customHeight="1" x14ac:dyDescent="0.35">
      <c r="B36" s="27">
        <f t="shared" si="4"/>
        <v>30</v>
      </c>
      <c r="C36" s="8">
        <f t="shared" si="5"/>
        <v>79146743.575936705</v>
      </c>
      <c r="D36" s="8">
        <f t="shared" si="0"/>
        <v>1615683.8532798286</v>
      </c>
      <c r="E36" s="8">
        <f t="shared" si="1"/>
        <v>2782737.3406088697</v>
      </c>
      <c r="F36" s="8">
        <f t="shared" si="2"/>
        <v>1167053.4873290411</v>
      </c>
      <c r="G36" s="8">
        <f t="shared" si="3"/>
        <v>77979690.088607669</v>
      </c>
    </row>
    <row r="37" spans="2:7" s="22" customFormat="1" ht="10.5" customHeight="1" x14ac:dyDescent="0.35">
      <c r="B37" s="26">
        <f t="shared" si="4"/>
        <v>31</v>
      </c>
      <c r="C37" s="7">
        <f t="shared" si="5"/>
        <v>77979690.088607669</v>
      </c>
      <c r="D37" s="7">
        <f t="shared" si="0"/>
        <v>1591859.8854171163</v>
      </c>
      <c r="E37" s="7">
        <f t="shared" si="1"/>
        <v>2782737.3406088697</v>
      </c>
      <c r="F37" s="7">
        <f t="shared" si="2"/>
        <v>1190877.4551917533</v>
      </c>
      <c r="G37" s="7">
        <f t="shared" si="3"/>
        <v>76788812.633415923</v>
      </c>
    </row>
    <row r="38" spans="2:7" s="22" customFormat="1" ht="10.5" customHeight="1" x14ac:dyDescent="0.35">
      <c r="B38" s="27">
        <f t="shared" si="4"/>
        <v>32</v>
      </c>
      <c r="C38" s="8">
        <f t="shared" si="5"/>
        <v>76788812.633415923</v>
      </c>
      <c r="D38" s="8">
        <f t="shared" si="0"/>
        <v>1567549.5804234277</v>
      </c>
      <c r="E38" s="8">
        <f t="shared" si="1"/>
        <v>2782737.3406088697</v>
      </c>
      <c r="F38" s="8">
        <f t="shared" si="2"/>
        <v>1215187.7601854419</v>
      </c>
      <c r="G38" s="8">
        <f t="shared" si="3"/>
        <v>75573624.873230487</v>
      </c>
    </row>
    <row r="39" spans="2:7" s="22" customFormat="1" ht="10.5" customHeight="1" x14ac:dyDescent="0.35">
      <c r="B39" s="26">
        <f t="shared" si="4"/>
        <v>33</v>
      </c>
      <c r="C39" s="7">
        <f t="shared" si="5"/>
        <v>75573624.873230487</v>
      </c>
      <c r="D39" s="7">
        <f t="shared" ref="D39:D70" si="6">C39*$N$4</f>
        <v>1542743.010321764</v>
      </c>
      <c r="E39" s="7">
        <f t="shared" ref="E39:E70" si="7">$K$5</f>
        <v>2782737.3406088697</v>
      </c>
      <c r="F39" s="7">
        <f t="shared" ref="F39:F70" si="8">E39-D39</f>
        <v>1239994.3302871056</v>
      </c>
      <c r="G39" s="7">
        <f t="shared" ref="G39:G70" si="9">C39-F39</f>
        <v>74333630.542943388</v>
      </c>
    </row>
    <row r="40" spans="2:7" s="22" customFormat="1" ht="10.5" customHeight="1" x14ac:dyDescent="0.35">
      <c r="B40" s="27">
        <f t="shared" ref="B40:B71" si="10">B39+1</f>
        <v>34</v>
      </c>
      <c r="C40" s="8">
        <f t="shared" ref="C40:C71" si="11">G39</f>
        <v>74333630.542943388</v>
      </c>
      <c r="D40" s="8">
        <f t="shared" si="6"/>
        <v>1517430.0444676322</v>
      </c>
      <c r="E40" s="8">
        <f t="shared" si="7"/>
        <v>2782737.3406088697</v>
      </c>
      <c r="F40" s="8">
        <f t="shared" si="8"/>
        <v>1265307.2961412375</v>
      </c>
      <c r="G40" s="8">
        <f t="shared" si="9"/>
        <v>73068323.246802151</v>
      </c>
    </row>
    <row r="41" spans="2:7" s="22" customFormat="1" ht="10.5" customHeight="1" x14ac:dyDescent="0.35">
      <c r="B41" s="26">
        <f t="shared" si="10"/>
        <v>35</v>
      </c>
      <c r="C41" s="7">
        <f t="shared" si="11"/>
        <v>73068323.246802151</v>
      </c>
      <c r="D41" s="7">
        <f t="shared" si="6"/>
        <v>1491600.345411838</v>
      </c>
      <c r="E41" s="7">
        <f t="shared" si="7"/>
        <v>2782737.3406088697</v>
      </c>
      <c r="F41" s="7">
        <f t="shared" si="8"/>
        <v>1291136.9951970316</v>
      </c>
      <c r="G41" s="7">
        <f t="shared" si="9"/>
        <v>71777186.251605123</v>
      </c>
    </row>
    <row r="42" spans="2:7" s="22" customFormat="1" ht="10.5" customHeight="1" x14ac:dyDescent="0.35">
      <c r="B42" s="27">
        <f t="shared" si="10"/>
        <v>36</v>
      </c>
      <c r="C42" s="8">
        <f t="shared" si="11"/>
        <v>71777186.251605123</v>
      </c>
      <c r="D42" s="8">
        <f t="shared" si="6"/>
        <v>1465243.3646788201</v>
      </c>
      <c r="E42" s="8">
        <f t="shared" si="7"/>
        <v>2782737.3406088697</v>
      </c>
      <c r="F42" s="8">
        <f t="shared" si="8"/>
        <v>1317493.9759300495</v>
      </c>
      <c r="G42" s="8">
        <f t="shared" si="9"/>
        <v>70459692.275675073</v>
      </c>
    </row>
    <row r="43" spans="2:7" s="22" customFormat="1" ht="10.5" customHeight="1" x14ac:dyDescent="0.35">
      <c r="B43" s="26">
        <f t="shared" si="10"/>
        <v>37</v>
      </c>
      <c r="C43" s="7">
        <f t="shared" si="11"/>
        <v>70459692.275675073</v>
      </c>
      <c r="D43" s="7">
        <f t="shared" si="6"/>
        <v>1438348.3384588051</v>
      </c>
      <c r="E43" s="7">
        <f t="shared" si="7"/>
        <v>2782737.3406088697</v>
      </c>
      <c r="F43" s="7">
        <f t="shared" si="8"/>
        <v>1344389.0021500646</v>
      </c>
      <c r="G43" s="7">
        <f t="shared" si="9"/>
        <v>69115303.273525015</v>
      </c>
    </row>
    <row r="44" spans="2:7" s="22" customFormat="1" ht="10.5" customHeight="1" x14ac:dyDescent="0.35">
      <c r="B44" s="27">
        <f t="shared" si="10"/>
        <v>38</v>
      </c>
      <c r="C44" s="8">
        <f t="shared" si="11"/>
        <v>69115303.273525015</v>
      </c>
      <c r="D44" s="8">
        <f t="shared" si="6"/>
        <v>1410904.283212024</v>
      </c>
      <c r="E44" s="8">
        <f t="shared" si="7"/>
        <v>2782737.3406088697</v>
      </c>
      <c r="F44" s="8">
        <f t="shared" si="8"/>
        <v>1371833.0573968457</v>
      </c>
      <c r="G44" s="8">
        <f t="shared" si="9"/>
        <v>67743470.21612817</v>
      </c>
    </row>
    <row r="45" spans="2:7" s="22" customFormat="1" ht="10.5" customHeight="1" x14ac:dyDescent="0.35">
      <c r="B45" s="26">
        <f t="shared" si="10"/>
        <v>39</v>
      </c>
      <c r="C45" s="7">
        <f t="shared" si="11"/>
        <v>67743470.21612817</v>
      </c>
      <c r="D45" s="7">
        <f t="shared" si="6"/>
        <v>1382899.9911831925</v>
      </c>
      <c r="E45" s="7">
        <f t="shared" si="7"/>
        <v>2782737.3406088697</v>
      </c>
      <c r="F45" s="7">
        <f t="shared" si="8"/>
        <v>1399837.3494256772</v>
      </c>
      <c r="G45" s="7">
        <f t="shared" si="9"/>
        <v>66343632.866702497</v>
      </c>
    </row>
    <row r="46" spans="2:7" s="22" customFormat="1" ht="10.5" customHeight="1" x14ac:dyDescent="0.35">
      <c r="B46" s="27">
        <f t="shared" si="10"/>
        <v>40</v>
      </c>
      <c r="C46" s="8">
        <f t="shared" si="11"/>
        <v>66343632.866702497</v>
      </c>
      <c r="D46" s="8">
        <f t="shared" si="6"/>
        <v>1354324.0258244264</v>
      </c>
      <c r="E46" s="8">
        <f t="shared" si="7"/>
        <v>2782737.3406088697</v>
      </c>
      <c r="F46" s="8">
        <f t="shared" si="8"/>
        <v>1428413.3147844432</v>
      </c>
      <c r="G46" s="8">
        <f t="shared" si="9"/>
        <v>64915219.551918052</v>
      </c>
    </row>
    <row r="47" spans="2:7" s="22" customFormat="1" ht="10.5" customHeight="1" x14ac:dyDescent="0.35">
      <c r="B47" s="26">
        <f t="shared" si="10"/>
        <v>41</v>
      </c>
      <c r="C47" s="7">
        <f t="shared" si="11"/>
        <v>64915219.551918052</v>
      </c>
      <c r="D47" s="7">
        <f t="shared" si="6"/>
        <v>1325164.7171247213</v>
      </c>
      <c r="E47" s="7">
        <f t="shared" si="7"/>
        <v>2782737.3406088697</v>
      </c>
      <c r="F47" s="7">
        <f t="shared" si="8"/>
        <v>1457572.6234841484</v>
      </c>
      <c r="G47" s="7">
        <f t="shared" si="9"/>
        <v>63457646.928433903</v>
      </c>
    </row>
    <row r="48" spans="2:7" s="22" customFormat="1" ht="10.5" customHeight="1" x14ac:dyDescent="0.35">
      <c r="B48" s="27">
        <f t="shared" si="10"/>
        <v>42</v>
      </c>
      <c r="C48" s="8">
        <f t="shared" si="11"/>
        <v>63457646.928433903</v>
      </c>
      <c r="D48" s="8">
        <f t="shared" si="6"/>
        <v>1295410.1568440876</v>
      </c>
      <c r="E48" s="8">
        <f t="shared" si="7"/>
        <v>2782737.3406088697</v>
      </c>
      <c r="F48" s="8">
        <f t="shared" si="8"/>
        <v>1487327.183764782</v>
      </c>
      <c r="G48" s="8">
        <f t="shared" si="9"/>
        <v>61970319.744669117</v>
      </c>
    </row>
    <row r="49" spans="2:7" s="22" customFormat="1" ht="10.5" customHeight="1" x14ac:dyDescent="0.35">
      <c r="B49" s="26">
        <f t="shared" si="10"/>
        <v>43</v>
      </c>
      <c r="C49" s="7">
        <f t="shared" si="11"/>
        <v>61970319.744669117</v>
      </c>
      <c r="D49" s="7">
        <f t="shared" si="6"/>
        <v>1265048.1936503989</v>
      </c>
      <c r="E49" s="7">
        <f t="shared" si="7"/>
        <v>2782737.3406088697</v>
      </c>
      <c r="F49" s="7">
        <f t="shared" si="8"/>
        <v>1517689.1469584708</v>
      </c>
      <c r="G49" s="7">
        <f t="shared" si="9"/>
        <v>60452630.597710647</v>
      </c>
    </row>
    <row r="50" spans="2:7" s="22" customFormat="1" ht="10.5" customHeight="1" x14ac:dyDescent="0.35">
      <c r="B50" s="27">
        <f t="shared" si="10"/>
        <v>44</v>
      </c>
      <c r="C50" s="8">
        <f t="shared" si="11"/>
        <v>60452630.597710647</v>
      </c>
      <c r="D50" s="8">
        <f t="shared" si="6"/>
        <v>1234066.4281569622</v>
      </c>
      <c r="E50" s="8">
        <f t="shared" si="7"/>
        <v>2782737.3406088697</v>
      </c>
      <c r="F50" s="8">
        <f t="shared" si="8"/>
        <v>1548670.9124519075</v>
      </c>
      <c r="G50" s="8">
        <f t="shared" si="9"/>
        <v>58903959.685258739</v>
      </c>
    </row>
    <row r="51" spans="2:7" s="22" customFormat="1" ht="10.5" customHeight="1" x14ac:dyDescent="0.35">
      <c r="B51" s="26">
        <f t="shared" si="10"/>
        <v>45</v>
      </c>
      <c r="C51" s="7">
        <f t="shared" si="11"/>
        <v>58903959.685258739</v>
      </c>
      <c r="D51" s="7">
        <f t="shared" si="6"/>
        <v>1202452.207858789</v>
      </c>
      <c r="E51" s="7">
        <f t="shared" si="7"/>
        <v>2782737.3406088697</v>
      </c>
      <c r="F51" s="7">
        <f t="shared" si="8"/>
        <v>1580285.1327500807</v>
      </c>
      <c r="G51" s="7">
        <f t="shared" si="9"/>
        <v>57323674.55250866</v>
      </c>
    </row>
    <row r="52" spans="2:7" s="22" customFormat="1" ht="10.5" customHeight="1" x14ac:dyDescent="0.35">
      <c r="B52" s="27">
        <f t="shared" si="10"/>
        <v>46</v>
      </c>
      <c r="C52" s="8">
        <f t="shared" si="11"/>
        <v>57323674.55250866</v>
      </c>
      <c r="D52" s="8">
        <f t="shared" si="6"/>
        <v>1170192.6219654947</v>
      </c>
      <c r="E52" s="8">
        <f t="shared" si="7"/>
        <v>2782737.3406088697</v>
      </c>
      <c r="F52" s="8">
        <f t="shared" si="8"/>
        <v>1612544.718643375</v>
      </c>
      <c r="G52" s="8">
        <f t="shared" si="9"/>
        <v>55711129.833865285</v>
      </c>
    </row>
    <row r="53" spans="2:7" s="22" customFormat="1" ht="10.5" customHeight="1" x14ac:dyDescent="0.35">
      <c r="B53" s="26">
        <f t="shared" si="10"/>
        <v>47</v>
      </c>
      <c r="C53" s="7">
        <f t="shared" si="11"/>
        <v>55711129.833865285</v>
      </c>
      <c r="D53" s="7">
        <f t="shared" si="6"/>
        <v>1137274.4961287181</v>
      </c>
      <c r="E53" s="7">
        <f t="shared" si="7"/>
        <v>2782737.3406088697</v>
      </c>
      <c r="F53" s="7">
        <f t="shared" si="8"/>
        <v>1645462.8444801515</v>
      </c>
      <c r="G53" s="7">
        <f t="shared" si="9"/>
        <v>54065666.989385135</v>
      </c>
    </row>
    <row r="54" spans="2:7" s="22" customFormat="1" ht="10.5" customHeight="1" x14ac:dyDescent="0.35">
      <c r="B54" s="27">
        <f t="shared" si="10"/>
        <v>48</v>
      </c>
      <c r="C54" s="8">
        <f t="shared" si="11"/>
        <v>54065666.989385135</v>
      </c>
      <c r="D54" s="8">
        <f t="shared" si="6"/>
        <v>1103684.3870619091</v>
      </c>
      <c r="E54" s="8">
        <f t="shared" si="7"/>
        <v>2782737.3406088697</v>
      </c>
      <c r="F54" s="8">
        <f t="shared" si="8"/>
        <v>1679052.9535469606</v>
      </c>
      <c r="G54" s="8">
        <f t="shared" si="9"/>
        <v>52386614.035838172</v>
      </c>
    </row>
    <row r="55" spans="2:7" s="22" customFormat="1" ht="10.5" customHeight="1" x14ac:dyDescent="0.35">
      <c r="B55" s="26">
        <f t="shared" si="10"/>
        <v>49</v>
      </c>
      <c r="C55" s="7">
        <f t="shared" si="11"/>
        <v>52386614.035838172</v>
      </c>
      <c r="D55" s="7">
        <f t="shared" si="6"/>
        <v>1069408.5770502838</v>
      </c>
      <c r="E55" s="7">
        <f t="shared" si="7"/>
        <v>2782737.3406088697</v>
      </c>
      <c r="F55" s="7">
        <f t="shared" si="8"/>
        <v>1713328.7635585859</v>
      </c>
      <c r="G55" s="7">
        <f t="shared" si="9"/>
        <v>50673285.272279583</v>
      </c>
    </row>
    <row r="56" spans="2:7" s="22" customFormat="1" ht="10.5" customHeight="1" x14ac:dyDescent="0.35">
      <c r="B56" s="27">
        <f t="shared" si="10"/>
        <v>50</v>
      </c>
      <c r="C56" s="8">
        <f t="shared" si="11"/>
        <v>50673285.272279583</v>
      </c>
      <c r="D56" s="8">
        <f t="shared" si="6"/>
        <v>1034433.0683487088</v>
      </c>
      <c r="E56" s="8">
        <f t="shared" si="7"/>
        <v>2782737.3406088697</v>
      </c>
      <c r="F56" s="8">
        <f t="shared" si="8"/>
        <v>1748304.2722601609</v>
      </c>
      <c r="G56" s="8">
        <f t="shared" si="9"/>
        <v>48924981.000019424</v>
      </c>
    </row>
    <row r="57" spans="2:7" s="22" customFormat="1" ht="10.5" customHeight="1" x14ac:dyDescent="0.35">
      <c r="B57" s="26">
        <f t="shared" si="10"/>
        <v>51</v>
      </c>
      <c r="C57" s="7">
        <f t="shared" si="11"/>
        <v>48924981.000019424</v>
      </c>
      <c r="D57" s="7">
        <f t="shared" si="6"/>
        <v>998743.5774652242</v>
      </c>
      <c r="E57" s="7">
        <f t="shared" si="7"/>
        <v>2782737.3406088697</v>
      </c>
      <c r="F57" s="7">
        <f t="shared" si="8"/>
        <v>1783993.7631436456</v>
      </c>
      <c r="G57" s="7">
        <f t="shared" si="9"/>
        <v>47140987.23687578</v>
      </c>
    </row>
    <row r="58" spans="2:7" s="22" customFormat="1" ht="10.5" customHeight="1" x14ac:dyDescent="0.35">
      <c r="B58" s="27">
        <f t="shared" si="10"/>
        <v>52</v>
      </c>
      <c r="C58" s="8">
        <f t="shared" si="11"/>
        <v>47140987.23687578</v>
      </c>
      <c r="D58" s="8">
        <f t="shared" si="6"/>
        <v>962325.52932787244</v>
      </c>
      <c r="E58" s="8">
        <f t="shared" si="7"/>
        <v>2782737.3406088697</v>
      </c>
      <c r="F58" s="8">
        <f t="shared" si="8"/>
        <v>1820411.8112809972</v>
      </c>
      <c r="G58" s="8">
        <f t="shared" si="9"/>
        <v>45320575.425594784</v>
      </c>
    </row>
    <row r="59" spans="2:7" s="22" customFormat="1" ht="10.5" customHeight="1" x14ac:dyDescent="0.35">
      <c r="B59" s="26">
        <f t="shared" si="10"/>
        <v>53</v>
      </c>
      <c r="C59" s="7">
        <f t="shared" si="11"/>
        <v>45320575.425594784</v>
      </c>
      <c r="D59" s="7">
        <f t="shared" si="6"/>
        <v>925164.05133244896</v>
      </c>
      <c r="E59" s="7">
        <f t="shared" si="7"/>
        <v>2782737.3406088697</v>
      </c>
      <c r="F59" s="7">
        <f t="shared" si="8"/>
        <v>1857573.2892764206</v>
      </c>
      <c r="G59" s="7">
        <f t="shared" si="9"/>
        <v>43463002.136318363</v>
      </c>
    </row>
    <row r="60" spans="2:7" s="22" customFormat="1" ht="10.5" customHeight="1" x14ac:dyDescent="0.35">
      <c r="B60" s="27">
        <f t="shared" si="10"/>
        <v>54</v>
      </c>
      <c r="C60" s="8">
        <f t="shared" si="11"/>
        <v>43463002.136318363</v>
      </c>
      <c r="D60" s="8">
        <f t="shared" si="6"/>
        <v>887243.9672687467</v>
      </c>
      <c r="E60" s="8">
        <f t="shared" si="7"/>
        <v>2782737.3406088697</v>
      </c>
      <c r="F60" s="8">
        <f t="shared" si="8"/>
        <v>1895493.3733401229</v>
      </c>
      <c r="G60" s="8">
        <f t="shared" si="9"/>
        <v>41567508.762978241</v>
      </c>
    </row>
    <row r="61" spans="2:7" s="22" customFormat="1" ht="10.5" customHeight="1" x14ac:dyDescent="0.35">
      <c r="B61" s="26">
        <f t="shared" si="10"/>
        <v>55</v>
      </c>
      <c r="C61" s="7">
        <f t="shared" si="11"/>
        <v>41567508.762978241</v>
      </c>
      <c r="D61" s="7">
        <f t="shared" si="6"/>
        <v>848549.79112281033</v>
      </c>
      <c r="E61" s="7">
        <f t="shared" si="7"/>
        <v>2782737.3406088697</v>
      </c>
      <c r="F61" s="7">
        <f t="shared" si="8"/>
        <v>1934187.5494860592</v>
      </c>
      <c r="G61" s="7">
        <f t="shared" si="9"/>
        <v>39633321.213492185</v>
      </c>
    </row>
    <row r="62" spans="2:7" s="22" customFormat="1" ht="10.5" customHeight="1" x14ac:dyDescent="0.35">
      <c r="B62" s="27">
        <f t="shared" si="10"/>
        <v>56</v>
      </c>
      <c r="C62" s="8">
        <f t="shared" si="11"/>
        <v>39633321.213492185</v>
      </c>
      <c r="D62" s="8">
        <f t="shared" si="6"/>
        <v>809065.72075267299</v>
      </c>
      <c r="E62" s="8">
        <f t="shared" si="7"/>
        <v>2782737.3406088697</v>
      </c>
      <c r="F62" s="8">
        <f t="shared" si="8"/>
        <v>1973671.6198561967</v>
      </c>
      <c r="G62" s="8">
        <f t="shared" si="9"/>
        <v>37659649.593635991</v>
      </c>
    </row>
    <row r="63" spans="2:7" s="22" customFormat="1" ht="10.5" customHeight="1" x14ac:dyDescent="0.35">
      <c r="B63" s="26">
        <f t="shared" si="10"/>
        <v>57</v>
      </c>
      <c r="C63" s="7">
        <f t="shared" si="11"/>
        <v>37659649.593635991</v>
      </c>
      <c r="D63" s="7">
        <f t="shared" si="6"/>
        <v>768775.63143498928</v>
      </c>
      <c r="E63" s="7">
        <f t="shared" si="7"/>
        <v>2782737.3406088697</v>
      </c>
      <c r="F63" s="7">
        <f t="shared" si="8"/>
        <v>2013961.7091738805</v>
      </c>
      <c r="G63" s="7">
        <f t="shared" si="9"/>
        <v>35645687.884462111</v>
      </c>
    </row>
    <row r="64" spans="2:7" s="22" customFormat="1" ht="10.5" customHeight="1" x14ac:dyDescent="0.35">
      <c r="B64" s="27">
        <f t="shared" si="10"/>
        <v>58</v>
      </c>
      <c r="C64" s="8">
        <f t="shared" si="11"/>
        <v>35645687.884462111</v>
      </c>
      <c r="D64" s="8">
        <f t="shared" si="6"/>
        <v>727663.06927993195</v>
      </c>
      <c r="E64" s="8">
        <f t="shared" si="7"/>
        <v>2782737.3406088697</v>
      </c>
      <c r="F64" s="8">
        <f t="shared" si="8"/>
        <v>2055074.2713289377</v>
      </c>
      <c r="G64" s="8">
        <f t="shared" si="9"/>
        <v>33590613.61313317</v>
      </c>
    </row>
    <row r="65" spans="2:7" s="22" customFormat="1" ht="10.5" customHeight="1" x14ac:dyDescent="0.35">
      <c r="B65" s="26">
        <f t="shared" si="10"/>
        <v>59</v>
      </c>
      <c r="C65" s="7">
        <f t="shared" si="11"/>
        <v>33590613.61313317</v>
      </c>
      <c r="D65" s="7">
        <f t="shared" si="6"/>
        <v>685711.24451166089</v>
      </c>
      <c r="E65" s="7">
        <f t="shared" si="7"/>
        <v>2782737.3406088697</v>
      </c>
      <c r="F65" s="7">
        <f t="shared" si="8"/>
        <v>2097026.0960972088</v>
      </c>
      <c r="G65" s="7">
        <f t="shared" si="9"/>
        <v>31493587.517035961</v>
      </c>
    </row>
    <row r="66" spans="2:7" s="22" customFormat="1" ht="10.5" customHeight="1" x14ac:dyDescent="0.35">
      <c r="B66" s="27">
        <f t="shared" si="10"/>
        <v>60</v>
      </c>
      <c r="C66" s="8">
        <f t="shared" si="11"/>
        <v>31493587.517035961</v>
      </c>
      <c r="D66" s="8">
        <f t="shared" si="6"/>
        <v>642903.02461162198</v>
      </c>
      <c r="E66" s="8">
        <f t="shared" si="7"/>
        <v>2782737.3406088697</v>
      </c>
      <c r="F66" s="8">
        <f t="shared" si="8"/>
        <v>2139834.3159972476</v>
      </c>
      <c r="G66" s="8">
        <f t="shared" si="9"/>
        <v>29353753.201038714</v>
      </c>
    </row>
    <row r="67" spans="2:7" s="22" customFormat="1" ht="10.5" customHeight="1" x14ac:dyDescent="0.35">
      <c r="B67" s="26">
        <f t="shared" si="10"/>
        <v>61</v>
      </c>
      <c r="C67" s="7">
        <f t="shared" si="11"/>
        <v>29353753.201038714</v>
      </c>
      <c r="D67" s="7">
        <f t="shared" si="6"/>
        <v>599220.92732187361</v>
      </c>
      <c r="E67" s="7">
        <f t="shared" si="7"/>
        <v>2782737.3406088697</v>
      </c>
      <c r="F67" s="7">
        <f t="shared" si="8"/>
        <v>2183516.4132869961</v>
      </c>
      <c r="G67" s="7">
        <f t="shared" si="9"/>
        <v>27170236.787751719</v>
      </c>
    </row>
    <row r="68" spans="2:7" s="22" customFormat="1" ht="10.5" customHeight="1" x14ac:dyDescent="0.35">
      <c r="B68" s="27">
        <f t="shared" si="10"/>
        <v>62</v>
      </c>
      <c r="C68" s="8">
        <f t="shared" si="11"/>
        <v>27170236.787751719</v>
      </c>
      <c r="D68" s="8">
        <f t="shared" si="6"/>
        <v>554647.1135055857</v>
      </c>
      <c r="E68" s="8">
        <f t="shared" si="7"/>
        <v>2782737.3406088697</v>
      </c>
      <c r="F68" s="8">
        <f t="shared" si="8"/>
        <v>2228090.2271032841</v>
      </c>
      <c r="G68" s="8">
        <f t="shared" si="9"/>
        <v>24942146.560648434</v>
      </c>
    </row>
    <row r="69" spans="2:7" s="22" customFormat="1" ht="10.5" customHeight="1" x14ac:dyDescent="0.35">
      <c r="B69" s="26">
        <f t="shared" si="10"/>
        <v>63</v>
      </c>
      <c r="C69" s="7">
        <f t="shared" si="11"/>
        <v>24942146.560648434</v>
      </c>
      <c r="D69" s="7">
        <f t="shared" si="6"/>
        <v>509163.37986179424</v>
      </c>
      <c r="E69" s="7">
        <f t="shared" si="7"/>
        <v>2782737.3406088697</v>
      </c>
      <c r="F69" s="7">
        <f t="shared" si="8"/>
        <v>2273573.9607470753</v>
      </c>
      <c r="G69" s="7">
        <f t="shared" si="9"/>
        <v>22668572.59990136</v>
      </c>
    </row>
    <row r="70" spans="2:7" s="22" customFormat="1" ht="10.5" customHeight="1" x14ac:dyDescent="0.35">
      <c r="B70" s="27">
        <f t="shared" si="10"/>
        <v>64</v>
      </c>
      <c r="C70" s="8">
        <f t="shared" si="11"/>
        <v>22668572.59990136</v>
      </c>
      <c r="D70" s="8">
        <f t="shared" si="6"/>
        <v>462751.15149143653</v>
      </c>
      <c r="E70" s="8">
        <f t="shared" si="7"/>
        <v>2782737.3406088697</v>
      </c>
      <c r="F70" s="8">
        <f t="shared" si="8"/>
        <v>2319986.189117433</v>
      </c>
      <c r="G70" s="8">
        <f t="shared" si="9"/>
        <v>20348586.410783928</v>
      </c>
    </row>
    <row r="71" spans="2:7" s="22" customFormat="1" ht="10.5" customHeight="1" x14ac:dyDescent="0.35">
      <c r="B71" s="26">
        <f t="shared" si="10"/>
        <v>65</v>
      </c>
      <c r="C71" s="7">
        <f t="shared" si="11"/>
        <v>20348586.410783928</v>
      </c>
      <c r="D71" s="7">
        <f t="shared" ref="D71:D102" si="12">C71*$N$4</f>
        <v>415391.47431163065</v>
      </c>
      <c r="E71" s="7">
        <f t="shared" ref="E71:E78" si="13">$K$5</f>
        <v>2782737.3406088697</v>
      </c>
      <c r="F71" s="7">
        <f t="shared" ref="F71:F102" si="14">E71-D71</f>
        <v>2367345.866297239</v>
      </c>
      <c r="G71" s="7">
        <f t="shared" ref="G71:G102" si="15">C71-F71</f>
        <v>17981240.54448669</v>
      </c>
    </row>
    <row r="72" spans="2:7" s="22" customFormat="1" ht="10.5" customHeight="1" x14ac:dyDescent="0.35">
      <c r="B72" s="27">
        <f t="shared" ref="B72:B78" si="16">B71+1</f>
        <v>66</v>
      </c>
      <c r="C72" s="8">
        <f t="shared" ref="C72:C78" si="17">G71</f>
        <v>17981240.54448669</v>
      </c>
      <c r="D72" s="8">
        <f t="shared" si="12"/>
        <v>367065.00731510238</v>
      </c>
      <c r="E72" s="8">
        <f t="shared" si="13"/>
        <v>2782737.3406088697</v>
      </c>
      <c r="F72" s="8">
        <f t="shared" si="14"/>
        <v>2415672.3332937672</v>
      </c>
      <c r="G72" s="8">
        <f t="shared" si="15"/>
        <v>15565568.211192923</v>
      </c>
    </row>
    <row r="73" spans="2:7" s="22" customFormat="1" ht="10.5" customHeight="1" x14ac:dyDescent="0.35">
      <c r="B73" s="26">
        <f t="shared" si="16"/>
        <v>67</v>
      </c>
      <c r="C73" s="7">
        <f t="shared" si="17"/>
        <v>15565568.211192923</v>
      </c>
      <c r="D73" s="7">
        <f t="shared" si="12"/>
        <v>317752.01467159728</v>
      </c>
      <c r="E73" s="7">
        <f t="shared" si="13"/>
        <v>2782737.3406088697</v>
      </c>
      <c r="F73" s="7">
        <f t="shared" si="14"/>
        <v>2464985.3259372725</v>
      </c>
      <c r="G73" s="7">
        <f t="shared" si="15"/>
        <v>13100582.88525565</v>
      </c>
    </row>
    <row r="74" spans="2:7" s="22" customFormat="1" ht="10.5" customHeight="1" x14ac:dyDescent="0.35">
      <c r="B74" s="27">
        <f t="shared" si="16"/>
        <v>68</v>
      </c>
      <c r="C74" s="8">
        <f t="shared" si="17"/>
        <v>13100582.88525565</v>
      </c>
      <c r="D74" s="8">
        <f t="shared" si="12"/>
        <v>267432.35766805353</v>
      </c>
      <c r="E74" s="8">
        <f t="shared" si="13"/>
        <v>2782737.3406088697</v>
      </c>
      <c r="F74" s="8">
        <f t="shared" si="14"/>
        <v>2515304.9829408163</v>
      </c>
      <c r="G74" s="8">
        <f t="shared" si="15"/>
        <v>10585277.902314834</v>
      </c>
    </row>
    <row r="75" spans="2:7" s="22" customFormat="1" ht="10.5" customHeight="1" x14ac:dyDescent="0.35">
      <c r="B75" s="26">
        <f t="shared" si="16"/>
        <v>69</v>
      </c>
      <c r="C75" s="7">
        <f t="shared" si="17"/>
        <v>10585277.902314834</v>
      </c>
      <c r="D75" s="7">
        <f t="shared" si="12"/>
        <v>216085.48648424217</v>
      </c>
      <c r="E75" s="7">
        <f t="shared" si="13"/>
        <v>2782737.3406088697</v>
      </c>
      <c r="F75" s="7">
        <f t="shared" si="14"/>
        <v>2566651.8541246275</v>
      </c>
      <c r="G75" s="7">
        <f t="shared" si="15"/>
        <v>8018626.0481902063</v>
      </c>
    </row>
    <row r="76" spans="2:7" s="22" customFormat="1" ht="10.5" customHeight="1" x14ac:dyDescent="0.35">
      <c r="B76" s="27">
        <f t="shared" si="16"/>
        <v>70</v>
      </c>
      <c r="C76" s="8">
        <f t="shared" si="17"/>
        <v>8018626.0481902063</v>
      </c>
      <c r="D76" s="8">
        <f t="shared" si="12"/>
        <v>163690.43180051804</v>
      </c>
      <c r="E76" s="8">
        <f t="shared" si="13"/>
        <v>2782737.3406088697</v>
      </c>
      <c r="F76" s="8">
        <f t="shared" si="14"/>
        <v>2619046.9088083515</v>
      </c>
      <c r="G76" s="8">
        <f t="shared" si="15"/>
        <v>5399579.1393818548</v>
      </c>
    </row>
    <row r="77" spans="2:7" s="22" customFormat="1" ht="10.5" customHeight="1" x14ac:dyDescent="0.35">
      <c r="B77" s="26">
        <f t="shared" si="16"/>
        <v>71</v>
      </c>
      <c r="C77" s="7">
        <f t="shared" si="17"/>
        <v>5399579.1393818548</v>
      </c>
      <c r="D77" s="7">
        <f t="shared" si="12"/>
        <v>110225.79623425279</v>
      </c>
      <c r="E77" s="7">
        <f t="shared" si="13"/>
        <v>2782737.3406088697</v>
      </c>
      <c r="F77" s="7">
        <f t="shared" si="14"/>
        <v>2672511.5443746168</v>
      </c>
      <c r="G77" s="7">
        <f>C77-F77</f>
        <v>2727067.595007238</v>
      </c>
    </row>
    <row r="78" spans="2:7" s="22" customFormat="1" ht="10.5" customHeight="1" x14ac:dyDescent="0.35">
      <c r="B78" s="27">
        <f t="shared" si="16"/>
        <v>72</v>
      </c>
      <c r="C78" s="8">
        <f t="shared" si="17"/>
        <v>2727067.595007238</v>
      </c>
      <c r="D78" s="8">
        <f t="shared" si="12"/>
        <v>55669.745601453229</v>
      </c>
      <c r="E78" s="8">
        <f t="shared" si="13"/>
        <v>2782737.3406088697</v>
      </c>
      <c r="F78" s="8">
        <f t="shared" si="14"/>
        <v>2727067.5950074163</v>
      </c>
      <c r="G78" s="8">
        <f t="shared" si="15"/>
        <v>-1.7834827303886414E-7</v>
      </c>
    </row>
    <row r="79" spans="2:7" s="22" customFormat="1" ht="10.5" customHeight="1" x14ac:dyDescent="0.35">
      <c r="B79" s="10" t="s">
        <v>20</v>
      </c>
      <c r="C79" s="11"/>
      <c r="D79" s="12">
        <f>SUM(D7:D78)</f>
        <v>95857088.523838371</v>
      </c>
      <c r="E79" s="12">
        <f>SUM(E7:E78)</f>
        <v>200357088.52383843</v>
      </c>
      <c r="F79" s="12">
        <f>SUM(F7:F78)</f>
        <v>104500000.00000024</v>
      </c>
      <c r="G79" s="11"/>
    </row>
    <row r="80" spans="2:7" s="22" customFormat="1" ht="10.5" customHeight="1" x14ac:dyDescent="0.35">
      <c r="B80" s="33" t="str">
        <f>"▶  Total intereses a pagar (72 meses):  $"&amp;TEXT(D79,"#,##0.00")</f>
        <v>▶  Total intereses a pagar (72 meses):  $95857088,52384</v>
      </c>
      <c r="C80" s="34"/>
      <c r="D80" s="34"/>
      <c r="E80" s="34"/>
      <c r="F80" s="34"/>
      <c r="G80" s="34"/>
    </row>
    <row r="81" spans="2:14" s="22" customFormat="1" ht="10.5" customHeight="1" x14ac:dyDescent="0.35"/>
    <row r="82" spans="2:14" s="22" customFormat="1" ht="10.5" customHeight="1" x14ac:dyDescent="0.35"/>
    <row r="83" spans="2:14" s="22" customFormat="1" ht="12" customHeight="1" x14ac:dyDescent="0.35">
      <c r="B83" s="39" t="s">
        <v>21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s="22" customFormat="1" ht="10.5" customHeight="1" x14ac:dyDescent="0.35">
      <c r="B84" s="1" t="s">
        <v>22</v>
      </c>
      <c r="C84" s="5">
        <f>G34</f>
        <v>80290449.703170061</v>
      </c>
      <c r="D84" s="3" t="s">
        <v>3</v>
      </c>
      <c r="F84" s="1" t="s">
        <v>23</v>
      </c>
      <c r="G84" s="5">
        <v>24500000</v>
      </c>
      <c r="H84" s="3" t="s">
        <v>3</v>
      </c>
      <c r="J84" s="1" t="s">
        <v>24</v>
      </c>
      <c r="K84" s="5">
        <f>C84-G84</f>
        <v>55790449.703170061</v>
      </c>
    </row>
    <row r="85" spans="2:14" s="22" customFormat="1" ht="10.5" customHeight="1" x14ac:dyDescent="0.35">
      <c r="B85" s="1" t="s">
        <v>9</v>
      </c>
      <c r="C85" s="29">
        <v>36</v>
      </c>
      <c r="D85" s="4" t="s">
        <v>10</v>
      </c>
      <c r="F85" s="1" t="s">
        <v>4</v>
      </c>
      <c r="G85" s="30">
        <f>N4</f>
        <v>2.0413775479336982E-2</v>
      </c>
      <c r="H85" s="4" t="s">
        <v>25</v>
      </c>
      <c r="J85" s="1" t="s">
        <v>13</v>
      </c>
      <c r="K85" s="5">
        <f>K84*(G85*(1+G85)^C85)/((1+G85)^C85-1)</f>
        <v>2203389.8052088083</v>
      </c>
    </row>
    <row r="86" spans="2:14" s="22" customFormat="1" ht="10.5" customHeight="1" x14ac:dyDescent="0.35">
      <c r="B86" s="13" t="s">
        <v>14</v>
      </c>
      <c r="C86" s="13" t="s">
        <v>15</v>
      </c>
      <c r="D86" s="13" t="s">
        <v>16</v>
      </c>
      <c r="E86" s="13" t="s">
        <v>17</v>
      </c>
      <c r="F86" s="13" t="s">
        <v>18</v>
      </c>
      <c r="G86" s="13" t="s">
        <v>19</v>
      </c>
    </row>
    <row r="87" spans="2:14" s="22" customFormat="1" ht="10.5" customHeight="1" x14ac:dyDescent="0.35">
      <c r="B87" s="31">
        <f>1</f>
        <v>1</v>
      </c>
      <c r="C87" s="14">
        <f>$K$84</f>
        <v>55790449.703170061</v>
      </c>
      <c r="D87" s="14">
        <f t="shared" ref="D87:D122" si="18">C87*$G$85</f>
        <v>1138893.7141317562</v>
      </c>
      <c r="E87" s="14">
        <f t="shared" ref="E87:E122" si="19">$K$85</f>
        <v>2203389.8052088083</v>
      </c>
      <c r="F87" s="14">
        <f t="shared" ref="F87:F122" si="20">E87-D87</f>
        <v>1064496.0910770521</v>
      </c>
      <c r="G87" s="14">
        <f t="shared" ref="G87:G122" si="21">C87-F87</f>
        <v>54725953.612093009</v>
      </c>
    </row>
    <row r="88" spans="2:14" s="22" customFormat="1" ht="10.5" customHeight="1" x14ac:dyDescent="0.35">
      <c r="B88" s="32">
        <f t="shared" ref="B88:B122" si="22">B87+1</f>
        <v>2</v>
      </c>
      <c r="C88" s="15">
        <f t="shared" ref="C88:C122" si="23">G87</f>
        <v>54725953.612093009</v>
      </c>
      <c r="D88" s="15">
        <f t="shared" si="18"/>
        <v>1117163.3299298773</v>
      </c>
      <c r="E88" s="15">
        <f t="shared" si="19"/>
        <v>2203389.8052088083</v>
      </c>
      <c r="F88" s="15">
        <f t="shared" si="20"/>
        <v>1086226.475278931</v>
      </c>
      <c r="G88" s="15">
        <f t="shared" si="21"/>
        <v>53639727.13681408</v>
      </c>
    </row>
    <row r="89" spans="2:14" s="22" customFormat="1" ht="10.5" customHeight="1" x14ac:dyDescent="0.35">
      <c r="B89" s="31">
        <f t="shared" si="22"/>
        <v>3</v>
      </c>
      <c r="C89" s="14">
        <f t="shared" si="23"/>
        <v>53639727.13681408</v>
      </c>
      <c r="D89" s="14">
        <f t="shared" si="18"/>
        <v>1094989.3465438217</v>
      </c>
      <c r="E89" s="14">
        <f t="shared" si="19"/>
        <v>2203389.8052088083</v>
      </c>
      <c r="F89" s="14">
        <f t="shared" si="20"/>
        <v>1108400.4586649865</v>
      </c>
      <c r="G89" s="14">
        <f t="shared" si="21"/>
        <v>52531326.678149097</v>
      </c>
    </row>
    <row r="90" spans="2:14" s="22" customFormat="1" ht="10.5" customHeight="1" x14ac:dyDescent="0.35">
      <c r="B90" s="32">
        <f t="shared" si="22"/>
        <v>4</v>
      </c>
      <c r="C90" s="15">
        <f t="shared" si="23"/>
        <v>52531326.678149097</v>
      </c>
      <c r="D90" s="15">
        <f t="shared" si="18"/>
        <v>1072362.7084394407</v>
      </c>
      <c r="E90" s="15">
        <f t="shared" si="19"/>
        <v>2203389.8052088083</v>
      </c>
      <c r="F90" s="15">
        <f t="shared" si="20"/>
        <v>1131027.0967693676</v>
      </c>
      <c r="G90" s="15">
        <f t="shared" si="21"/>
        <v>51400299.581379727</v>
      </c>
    </row>
    <row r="91" spans="2:14" s="22" customFormat="1" ht="10.5" customHeight="1" x14ac:dyDescent="0.35">
      <c r="B91" s="31">
        <f t="shared" si="22"/>
        <v>5</v>
      </c>
      <c r="C91" s="14">
        <f t="shared" si="23"/>
        <v>51400299.581379727</v>
      </c>
      <c r="D91" s="14">
        <f t="shared" si="18"/>
        <v>1049274.1752249445</v>
      </c>
      <c r="E91" s="14">
        <f t="shared" si="19"/>
        <v>2203389.8052088083</v>
      </c>
      <c r="F91" s="14">
        <f t="shared" si="20"/>
        <v>1154115.6299838638</v>
      </c>
      <c r="G91" s="14">
        <f t="shared" si="21"/>
        <v>50246183.951395862</v>
      </c>
    </row>
    <row r="92" spans="2:14" s="22" customFormat="1" ht="10.5" customHeight="1" x14ac:dyDescent="0.35">
      <c r="B92" s="32">
        <f t="shared" si="22"/>
        <v>6</v>
      </c>
      <c r="C92" s="15">
        <f t="shared" si="23"/>
        <v>50246183.951395862</v>
      </c>
      <c r="D92" s="15">
        <f t="shared" si="18"/>
        <v>1025714.3178772603</v>
      </c>
      <c r="E92" s="15">
        <f t="shared" si="19"/>
        <v>2203389.8052088083</v>
      </c>
      <c r="F92" s="15">
        <f t="shared" si="20"/>
        <v>1177675.487331548</v>
      </c>
      <c r="G92" s="15">
        <f t="shared" si="21"/>
        <v>49068508.464064315</v>
      </c>
    </row>
    <row r="93" spans="2:14" s="22" customFormat="1" ht="10.5" customHeight="1" x14ac:dyDescent="0.35">
      <c r="B93" s="31">
        <f t="shared" si="22"/>
        <v>7</v>
      </c>
      <c r="C93" s="14">
        <f t="shared" si="23"/>
        <v>49068508.464064315</v>
      </c>
      <c r="D93" s="14">
        <f t="shared" si="18"/>
        <v>1001673.5148913553</v>
      </c>
      <c r="E93" s="14">
        <f t="shared" si="19"/>
        <v>2203389.8052088083</v>
      </c>
      <c r="F93" s="14">
        <f t="shared" si="20"/>
        <v>1201716.290317453</v>
      </c>
      <c r="G93" s="14">
        <f t="shared" si="21"/>
        <v>47866792.173746862</v>
      </c>
    </row>
    <row r="94" spans="2:14" s="22" customFormat="1" ht="10.5" customHeight="1" x14ac:dyDescent="0.35">
      <c r="B94" s="32">
        <f t="shared" si="22"/>
        <v>8</v>
      </c>
      <c r="C94" s="15">
        <f t="shared" si="23"/>
        <v>47866792.173746862</v>
      </c>
      <c r="D94" s="15">
        <f t="shared" si="18"/>
        <v>977141.94835095305</v>
      </c>
      <c r="E94" s="15">
        <f t="shared" si="19"/>
        <v>2203389.8052088083</v>
      </c>
      <c r="F94" s="15">
        <f t="shared" si="20"/>
        <v>1226247.8568578553</v>
      </c>
      <c r="G94" s="15">
        <f t="shared" si="21"/>
        <v>46640544.316889003</v>
      </c>
    </row>
    <row r="95" spans="2:14" s="22" customFormat="1" ht="10.5" customHeight="1" x14ac:dyDescent="0.35">
      <c r="B95" s="31">
        <f t="shared" si="22"/>
        <v>9</v>
      </c>
      <c r="C95" s="14">
        <f t="shared" si="23"/>
        <v>46640544.316889003</v>
      </c>
      <c r="D95" s="14">
        <f t="shared" si="18"/>
        <v>952109.59991903859</v>
      </c>
      <c r="E95" s="14">
        <f t="shared" si="19"/>
        <v>2203389.8052088083</v>
      </c>
      <c r="F95" s="14">
        <f t="shared" si="20"/>
        <v>1251280.2052897697</v>
      </c>
      <c r="G95" s="14">
        <f t="shared" si="21"/>
        <v>45389264.111599237</v>
      </c>
    </row>
    <row r="96" spans="2:14" s="22" customFormat="1" ht="10.5" customHeight="1" x14ac:dyDescent="0.35">
      <c r="B96" s="32">
        <f t="shared" si="22"/>
        <v>10</v>
      </c>
      <c r="C96" s="15">
        <f t="shared" si="23"/>
        <v>45389264.111599237</v>
      </c>
      <c r="D96" s="15">
        <f t="shared" si="18"/>
        <v>926566.24674651457</v>
      </c>
      <c r="E96" s="15">
        <f t="shared" si="19"/>
        <v>2203389.8052088083</v>
      </c>
      <c r="F96" s="15">
        <f t="shared" si="20"/>
        <v>1276823.5584622938</v>
      </c>
      <c r="G96" s="15">
        <f t="shared" si="21"/>
        <v>44112440.553136945</v>
      </c>
    </row>
    <row r="97" spans="2:7" s="22" customFormat="1" ht="10.5" customHeight="1" x14ac:dyDescent="0.35">
      <c r="B97" s="31">
        <f t="shared" si="22"/>
        <v>11</v>
      </c>
      <c r="C97" s="14">
        <f t="shared" si="23"/>
        <v>44112440.553136945</v>
      </c>
      <c r="D97" s="14">
        <f t="shared" si="18"/>
        <v>900501.45729733724</v>
      </c>
      <c r="E97" s="14">
        <f t="shared" si="19"/>
        <v>2203389.8052088083</v>
      </c>
      <c r="F97" s="14">
        <f t="shared" si="20"/>
        <v>1302888.347911471</v>
      </c>
      <c r="G97" s="14">
        <f t="shared" si="21"/>
        <v>42809552.205225475</v>
      </c>
    </row>
    <row r="98" spans="2:7" s="22" customFormat="1" ht="10.5" customHeight="1" x14ac:dyDescent="0.35">
      <c r="B98" s="32">
        <f t="shared" si="22"/>
        <v>12</v>
      </c>
      <c r="C98" s="15">
        <f t="shared" si="23"/>
        <v>42809552.205225475</v>
      </c>
      <c r="D98" s="15">
        <f t="shared" si="18"/>
        <v>873904.5870884282</v>
      </c>
      <c r="E98" s="15">
        <f t="shared" si="19"/>
        <v>2203389.8052088083</v>
      </c>
      <c r="F98" s="15">
        <f t="shared" si="20"/>
        <v>1329485.2181203801</v>
      </c>
      <c r="G98" s="15">
        <f t="shared" si="21"/>
        <v>41480066.987105094</v>
      </c>
    </row>
    <row r="99" spans="2:7" s="22" customFormat="1" ht="10.5" customHeight="1" x14ac:dyDescent="0.35">
      <c r="B99" s="31">
        <f t="shared" si="22"/>
        <v>13</v>
      </c>
      <c r="C99" s="14">
        <f t="shared" si="23"/>
        <v>41480066.987105094</v>
      </c>
      <c r="D99" s="14">
        <f t="shared" si="18"/>
        <v>846764.77434262144</v>
      </c>
      <c r="E99" s="14">
        <f t="shared" si="19"/>
        <v>2203389.8052088083</v>
      </c>
      <c r="F99" s="14">
        <f t="shared" si="20"/>
        <v>1356625.0308661868</v>
      </c>
      <c r="G99" s="14">
        <f t="shared" si="21"/>
        <v>40123441.956238911</v>
      </c>
    </row>
    <row r="100" spans="2:7" s="22" customFormat="1" ht="10.5" customHeight="1" x14ac:dyDescent="0.35">
      <c r="B100" s="32">
        <f t="shared" si="22"/>
        <v>14</v>
      </c>
      <c r="C100" s="15">
        <f t="shared" si="23"/>
        <v>40123441.956238911</v>
      </c>
      <c r="D100" s="15">
        <f t="shared" si="18"/>
        <v>819070.93555287051</v>
      </c>
      <c r="E100" s="15">
        <f t="shared" si="19"/>
        <v>2203389.8052088083</v>
      </c>
      <c r="F100" s="15">
        <f t="shared" si="20"/>
        <v>1384318.8696559379</v>
      </c>
      <c r="G100" s="15">
        <f t="shared" si="21"/>
        <v>38739123.086582974</v>
      </c>
    </row>
    <row r="101" spans="2:7" s="22" customFormat="1" ht="10.5" customHeight="1" x14ac:dyDescent="0.35">
      <c r="B101" s="31">
        <f t="shared" si="22"/>
        <v>15</v>
      </c>
      <c r="C101" s="14">
        <f t="shared" si="23"/>
        <v>38739123.086582974</v>
      </c>
      <c r="D101" s="14">
        <f t="shared" si="18"/>
        <v>790811.76095590473</v>
      </c>
      <c r="E101" s="14">
        <f t="shared" si="19"/>
        <v>2203389.8052088083</v>
      </c>
      <c r="F101" s="14">
        <f t="shared" si="20"/>
        <v>1412578.0442529037</v>
      </c>
      <c r="G101" s="14">
        <f t="shared" si="21"/>
        <v>37326545.042330071</v>
      </c>
    </row>
    <row r="102" spans="2:7" s="22" customFormat="1" ht="10.5" customHeight="1" x14ac:dyDescent="0.35">
      <c r="B102" s="32">
        <f t="shared" si="22"/>
        <v>16</v>
      </c>
      <c r="C102" s="15">
        <f t="shared" si="23"/>
        <v>37326545.042330071</v>
      </c>
      <c r="D102" s="15">
        <f t="shared" si="18"/>
        <v>761975.70991348499</v>
      </c>
      <c r="E102" s="15">
        <f t="shared" si="19"/>
        <v>2203389.8052088083</v>
      </c>
      <c r="F102" s="15">
        <f t="shared" si="20"/>
        <v>1441414.0952953233</v>
      </c>
      <c r="G102" s="15">
        <f t="shared" si="21"/>
        <v>35885130.947034746</v>
      </c>
    </row>
    <row r="103" spans="2:7" s="22" customFormat="1" ht="10.5" customHeight="1" x14ac:dyDescent="0.35">
      <c r="B103" s="31">
        <f t="shared" si="22"/>
        <v>17</v>
      </c>
      <c r="C103" s="14">
        <f t="shared" si="23"/>
        <v>35885130.947034746</v>
      </c>
      <c r="D103" s="14">
        <f t="shared" si="18"/>
        <v>732551.00619937456</v>
      </c>
      <c r="E103" s="14">
        <f t="shared" si="19"/>
        <v>2203389.8052088083</v>
      </c>
      <c r="F103" s="14">
        <f t="shared" si="20"/>
        <v>1470838.7990094337</v>
      </c>
      <c r="G103" s="14">
        <f t="shared" si="21"/>
        <v>34414292.148025312</v>
      </c>
    </row>
    <row r="104" spans="2:7" s="22" customFormat="1" ht="10.5" customHeight="1" x14ac:dyDescent="0.35">
      <c r="B104" s="32">
        <f t="shared" si="22"/>
        <v>18</v>
      </c>
      <c r="C104" s="15">
        <f t="shared" si="23"/>
        <v>34414292.148025312</v>
      </c>
      <c r="D104" s="15">
        <f t="shared" si="18"/>
        <v>702525.63319009834</v>
      </c>
      <c r="E104" s="15">
        <f t="shared" si="19"/>
        <v>2203389.8052088083</v>
      </c>
      <c r="F104" s="15">
        <f t="shared" si="20"/>
        <v>1500864.1720187101</v>
      </c>
      <c r="G104" s="15">
        <f t="shared" si="21"/>
        <v>32913427.976006601</v>
      </c>
    </row>
    <row r="105" spans="2:7" s="22" customFormat="1" ht="10.5" customHeight="1" x14ac:dyDescent="0.35">
      <c r="B105" s="31">
        <f t="shared" si="22"/>
        <v>19</v>
      </c>
      <c r="C105" s="14">
        <f t="shared" si="23"/>
        <v>32913427.976006601</v>
      </c>
      <c r="D105" s="14">
        <f t="shared" si="18"/>
        <v>671887.32895752741</v>
      </c>
      <c r="E105" s="14">
        <f t="shared" si="19"/>
        <v>2203389.8052088083</v>
      </c>
      <c r="F105" s="14">
        <f t="shared" si="20"/>
        <v>1531502.4762512809</v>
      </c>
      <c r="G105" s="14">
        <f t="shared" si="21"/>
        <v>31381925.499755319</v>
      </c>
    </row>
    <row r="106" spans="2:7" s="22" customFormat="1" ht="10.5" customHeight="1" x14ac:dyDescent="0.35">
      <c r="B106" s="32">
        <f t="shared" si="22"/>
        <v>20</v>
      </c>
      <c r="C106" s="15">
        <f t="shared" si="23"/>
        <v>31381925.499755319</v>
      </c>
      <c r="D106" s="15">
        <f t="shared" si="18"/>
        <v>640623.58126128512</v>
      </c>
      <c r="E106" s="15">
        <f t="shared" si="19"/>
        <v>2203389.8052088083</v>
      </c>
      <c r="F106" s="15">
        <f t="shared" si="20"/>
        <v>1562766.2239475232</v>
      </c>
      <c r="G106" s="15">
        <f t="shared" si="21"/>
        <v>29819159.275807798</v>
      </c>
    </row>
    <row r="107" spans="2:7" s="22" customFormat="1" ht="10.5" customHeight="1" x14ac:dyDescent="0.35">
      <c r="B107" s="31">
        <f t="shared" si="22"/>
        <v>21</v>
      </c>
      <c r="C107" s="14">
        <f t="shared" si="23"/>
        <v>29819159.275807798</v>
      </c>
      <c r="D107" s="14">
        <f t="shared" si="18"/>
        <v>608721.62243892916</v>
      </c>
      <c r="E107" s="14">
        <f t="shared" si="19"/>
        <v>2203389.8052088083</v>
      </c>
      <c r="F107" s="14">
        <f t="shared" si="20"/>
        <v>1594668.1827698792</v>
      </c>
      <c r="G107" s="14">
        <f t="shared" si="21"/>
        <v>28224491.093037918</v>
      </c>
    </row>
    <row r="108" spans="2:7" s="22" customFormat="1" ht="10.5" customHeight="1" x14ac:dyDescent="0.35">
      <c r="B108" s="32">
        <f t="shared" si="22"/>
        <v>22</v>
      </c>
      <c r="C108" s="15">
        <f t="shared" si="23"/>
        <v>28224491.093037918</v>
      </c>
      <c r="D108" s="15">
        <f t="shared" si="18"/>
        <v>576168.42419182253</v>
      </c>
      <c r="E108" s="15">
        <f t="shared" si="19"/>
        <v>2203389.8052088083</v>
      </c>
      <c r="F108" s="15">
        <f t="shared" si="20"/>
        <v>1627221.3810169857</v>
      </c>
      <c r="G108" s="15">
        <f t="shared" si="21"/>
        <v>26597269.712020934</v>
      </c>
    </row>
    <row r="109" spans="2:7" s="22" customFormat="1" ht="10.5" customHeight="1" x14ac:dyDescent="0.35">
      <c r="B109" s="31">
        <f t="shared" si="22"/>
        <v>23</v>
      </c>
      <c r="C109" s="14">
        <f t="shared" si="23"/>
        <v>26597269.712020934</v>
      </c>
      <c r="D109" s="14">
        <f t="shared" si="18"/>
        <v>542950.69226456515</v>
      </c>
      <c r="E109" s="14">
        <f t="shared" si="19"/>
        <v>2203389.8052088083</v>
      </c>
      <c r="F109" s="14">
        <f t="shared" si="20"/>
        <v>1660439.112944243</v>
      </c>
      <c r="G109" s="14">
        <f t="shared" si="21"/>
        <v>24936830.599076692</v>
      </c>
    </row>
    <row r="110" spans="2:7" s="22" customFormat="1" ht="10.5" customHeight="1" x14ac:dyDescent="0.35">
      <c r="B110" s="32">
        <f t="shared" si="22"/>
        <v>24</v>
      </c>
      <c r="C110" s="15">
        <f t="shared" si="23"/>
        <v>24936830.599076692</v>
      </c>
      <c r="D110" s="15">
        <f t="shared" si="18"/>
        <v>509054.86101581191</v>
      </c>
      <c r="E110" s="15">
        <f t="shared" si="19"/>
        <v>2203389.8052088083</v>
      </c>
      <c r="F110" s="15">
        <f t="shared" si="20"/>
        <v>1694334.9441929962</v>
      </c>
      <c r="G110" s="15">
        <f t="shared" si="21"/>
        <v>23242495.654883698</v>
      </c>
    </row>
    <row r="111" spans="2:7" s="22" customFormat="1" ht="10.5" customHeight="1" x14ac:dyDescent="0.35">
      <c r="B111" s="31">
        <f t="shared" si="22"/>
        <v>25</v>
      </c>
      <c r="C111" s="14">
        <f t="shared" si="23"/>
        <v>23242495.654883698</v>
      </c>
      <c r="D111" s="14">
        <f t="shared" si="18"/>
        <v>474467.08787826117</v>
      </c>
      <c r="E111" s="14">
        <f t="shared" si="19"/>
        <v>2203389.8052088083</v>
      </c>
      <c r="F111" s="14">
        <f t="shared" si="20"/>
        <v>1728922.717330547</v>
      </c>
      <c r="G111" s="14">
        <f t="shared" si="21"/>
        <v>21513572.937553152</v>
      </c>
    </row>
    <row r="112" spans="2:7" s="22" customFormat="1" ht="10.5" customHeight="1" x14ac:dyDescent="0.35">
      <c r="B112" s="32">
        <f t="shared" si="22"/>
        <v>26</v>
      </c>
      <c r="C112" s="15">
        <f t="shared" si="23"/>
        <v>21513572.937553152</v>
      </c>
      <c r="D112" s="15">
        <f t="shared" si="18"/>
        <v>439173.24770555022</v>
      </c>
      <c r="E112" s="15">
        <f t="shared" si="19"/>
        <v>2203389.8052088083</v>
      </c>
      <c r="F112" s="15">
        <f t="shared" si="20"/>
        <v>1764216.5575032581</v>
      </c>
      <c r="G112" s="15">
        <f t="shared" si="21"/>
        <v>19749356.380049895</v>
      </c>
    </row>
    <row r="113" spans="2:14" s="22" customFormat="1" ht="10.5" customHeight="1" x14ac:dyDescent="0.35">
      <c r="B113" s="31">
        <f t="shared" si="22"/>
        <v>27</v>
      </c>
      <c r="C113" s="14">
        <f t="shared" si="23"/>
        <v>19749356.380049895</v>
      </c>
      <c r="D113" s="14">
        <f t="shared" si="18"/>
        <v>403158.92700374994</v>
      </c>
      <c r="E113" s="14">
        <f t="shared" si="19"/>
        <v>2203389.8052088083</v>
      </c>
      <c r="F113" s="14">
        <f t="shared" si="20"/>
        <v>1800230.8782050584</v>
      </c>
      <c r="G113" s="14">
        <f t="shared" si="21"/>
        <v>17949125.501844838</v>
      </c>
    </row>
    <row r="114" spans="2:14" s="22" customFormat="1" ht="10.5" customHeight="1" x14ac:dyDescent="0.35">
      <c r="B114" s="32">
        <f t="shared" si="22"/>
        <v>28</v>
      </c>
      <c r="C114" s="15">
        <f t="shared" si="23"/>
        <v>17949125.501844838</v>
      </c>
      <c r="D114" s="15">
        <f t="shared" si="18"/>
        <v>366409.41804510227</v>
      </c>
      <c r="E114" s="15">
        <f t="shared" si="19"/>
        <v>2203389.8052088083</v>
      </c>
      <c r="F114" s="15">
        <f t="shared" si="20"/>
        <v>1836980.3871637061</v>
      </c>
      <c r="G114" s="15">
        <f t="shared" si="21"/>
        <v>16112145.114681132</v>
      </c>
    </row>
    <row r="115" spans="2:14" s="22" customFormat="1" ht="10.5" customHeight="1" x14ac:dyDescent="0.35">
      <c r="B115" s="31">
        <f t="shared" si="22"/>
        <v>29</v>
      </c>
      <c r="C115" s="14">
        <f t="shared" si="23"/>
        <v>16112145.114681132</v>
      </c>
      <c r="D115" s="14">
        <f t="shared" si="18"/>
        <v>328909.71286159684</v>
      </c>
      <c r="E115" s="14">
        <f t="shared" si="19"/>
        <v>2203389.8052088083</v>
      </c>
      <c r="F115" s="14">
        <f t="shared" si="20"/>
        <v>1874480.0923472114</v>
      </c>
      <c r="G115" s="14">
        <f t="shared" si="21"/>
        <v>14237665.02233392</v>
      </c>
    </row>
    <row r="116" spans="2:14" s="22" customFormat="1" ht="10.5" customHeight="1" x14ac:dyDescent="0.35">
      <c r="B116" s="32">
        <f t="shared" si="22"/>
        <v>30</v>
      </c>
      <c r="C116" s="15">
        <f t="shared" si="23"/>
        <v>14237665.02233392</v>
      </c>
      <c r="D116" s="15">
        <f t="shared" si="18"/>
        <v>290644.49711593398</v>
      </c>
      <c r="E116" s="15">
        <f t="shared" si="19"/>
        <v>2203389.8052088083</v>
      </c>
      <c r="F116" s="15">
        <f t="shared" si="20"/>
        <v>1912745.3080928742</v>
      </c>
      <c r="G116" s="15">
        <f t="shared" si="21"/>
        <v>12324919.714241046</v>
      </c>
    </row>
    <row r="117" spans="2:14" s="22" customFormat="1" ht="10.5" customHeight="1" x14ac:dyDescent="0.35">
      <c r="B117" s="31">
        <f t="shared" si="22"/>
        <v>31</v>
      </c>
      <c r="C117" s="14">
        <f t="shared" si="23"/>
        <v>12324919.714241046</v>
      </c>
      <c r="D117" s="14">
        <f t="shared" si="18"/>
        <v>251598.14384737084</v>
      </c>
      <c r="E117" s="14">
        <f t="shared" si="19"/>
        <v>2203389.8052088083</v>
      </c>
      <c r="F117" s="14">
        <f t="shared" si="20"/>
        <v>1951791.6613614375</v>
      </c>
      <c r="G117" s="14">
        <f t="shared" si="21"/>
        <v>10373128.052879609</v>
      </c>
    </row>
    <row r="118" spans="2:14" s="22" customFormat="1" ht="10.5" customHeight="1" x14ac:dyDescent="0.35">
      <c r="B118" s="32">
        <f t="shared" si="22"/>
        <v>32</v>
      </c>
      <c r="C118" s="15">
        <f t="shared" si="23"/>
        <v>10373128.052879609</v>
      </c>
      <c r="D118" s="15">
        <f t="shared" si="18"/>
        <v>211754.70708989634</v>
      </c>
      <c r="E118" s="15">
        <f t="shared" si="19"/>
        <v>2203389.8052088083</v>
      </c>
      <c r="F118" s="15">
        <f t="shared" si="20"/>
        <v>1991635.098118912</v>
      </c>
      <c r="G118" s="15">
        <f t="shared" si="21"/>
        <v>8381492.9547606967</v>
      </c>
    </row>
    <row r="119" spans="2:14" s="22" customFormat="1" ht="10.5" customHeight="1" x14ac:dyDescent="0.35">
      <c r="B119" s="31">
        <f t="shared" si="22"/>
        <v>33</v>
      </c>
      <c r="C119" s="14">
        <f t="shared" si="23"/>
        <v>8381492.9547606967</v>
      </c>
      <c r="D119" s="14">
        <f t="shared" si="18"/>
        <v>171097.91536012958</v>
      </c>
      <c r="E119" s="14">
        <f t="shared" si="19"/>
        <v>2203389.8052088083</v>
      </c>
      <c r="F119" s="14">
        <f t="shared" si="20"/>
        <v>2032291.8898486786</v>
      </c>
      <c r="G119" s="14">
        <f t="shared" si="21"/>
        <v>6349201.0649120184</v>
      </c>
    </row>
    <row r="120" spans="2:14" s="22" customFormat="1" ht="10.5" customHeight="1" x14ac:dyDescent="0.35">
      <c r="B120" s="32">
        <f t="shared" si="22"/>
        <v>34</v>
      </c>
      <c r="C120" s="15">
        <f t="shared" si="23"/>
        <v>6349201.0649120184</v>
      </c>
      <c r="D120" s="15">
        <f t="shared" si="18"/>
        <v>129611.16501228121</v>
      </c>
      <c r="E120" s="15">
        <f t="shared" si="19"/>
        <v>2203389.8052088083</v>
      </c>
      <c r="F120" s="15">
        <f t="shared" si="20"/>
        <v>2073778.6401965271</v>
      </c>
      <c r="G120" s="15">
        <f t="shared" si="21"/>
        <v>4275422.424715491</v>
      </c>
    </row>
    <row r="121" spans="2:14" s="22" customFormat="1" ht="10.5" customHeight="1" x14ac:dyDescent="0.35">
      <c r="B121" s="31">
        <f t="shared" si="22"/>
        <v>35</v>
      </c>
      <c r="C121" s="14">
        <f t="shared" si="23"/>
        <v>4275422.424715491</v>
      </c>
      <c r="D121" s="14">
        <f t="shared" si="18"/>
        <v>87277.513457464549</v>
      </c>
      <c r="E121" s="14">
        <f t="shared" si="19"/>
        <v>2203389.8052088083</v>
      </c>
      <c r="F121" s="14">
        <f t="shared" si="20"/>
        <v>2116112.2917513438</v>
      </c>
      <c r="G121" s="14">
        <f t="shared" si="21"/>
        <v>2159310.1329641473</v>
      </c>
    </row>
    <row r="122" spans="2:14" s="22" customFormat="1" ht="10.5" customHeight="1" x14ac:dyDescent="0.35">
      <c r="B122" s="32">
        <f t="shared" si="22"/>
        <v>36</v>
      </c>
      <c r="C122" s="15">
        <f t="shared" si="23"/>
        <v>2159310.1329641473</v>
      </c>
      <c r="D122" s="15">
        <f t="shared" si="18"/>
        <v>44079.672244587389</v>
      </c>
      <c r="E122" s="15">
        <f t="shared" si="19"/>
        <v>2203389.8052088083</v>
      </c>
      <c r="F122" s="15">
        <f t="shared" si="20"/>
        <v>2159310.1329642208</v>
      </c>
      <c r="G122" s="15">
        <f t="shared" si="21"/>
        <v>-7.3574483394622803E-8</v>
      </c>
    </row>
    <row r="123" spans="2:14" s="22" customFormat="1" ht="10.5" customHeight="1" x14ac:dyDescent="0.35">
      <c r="B123" s="13" t="s">
        <v>20</v>
      </c>
      <c r="C123" s="16"/>
      <c r="D123" s="17">
        <f>SUM(D87:D122)</f>
        <v>23531583.284346946</v>
      </c>
      <c r="E123" s="17">
        <f>SUM(E87:E122)</f>
        <v>79322032.987517089</v>
      </c>
      <c r="F123" s="17">
        <f>SUM(F87:F122)</f>
        <v>55790449.703170151</v>
      </c>
      <c r="G123" s="16"/>
    </row>
    <row r="124" spans="2:14" s="22" customFormat="1" ht="10.5" customHeight="1" x14ac:dyDescent="0.35"/>
    <row r="125" spans="2:14" s="22" customFormat="1" ht="10.5" customHeight="1" x14ac:dyDescent="0.35"/>
    <row r="126" spans="2:14" s="22" customFormat="1" ht="12" customHeight="1" x14ac:dyDescent="0.35">
      <c r="B126" s="38" t="s">
        <v>26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</row>
    <row r="127" spans="2:14" s="22" customFormat="1" ht="10.5" customHeight="1" x14ac:dyDescent="0.35">
      <c r="B127" s="41" t="s">
        <v>27</v>
      </c>
      <c r="C127" s="36"/>
      <c r="D127" s="36"/>
      <c r="E127" s="36"/>
      <c r="F127" s="36"/>
      <c r="G127" s="36"/>
      <c r="H127" s="36"/>
      <c r="I127" s="36"/>
      <c r="J127" s="36"/>
      <c r="K127" s="18">
        <f>D79</f>
        <v>95857088.523838371</v>
      </c>
    </row>
    <row r="128" spans="2:14" s="22" customFormat="1" ht="10.5" customHeight="1" x14ac:dyDescent="0.35">
      <c r="B128" s="35" t="s">
        <v>28</v>
      </c>
      <c r="C128" s="36"/>
      <c r="D128" s="36"/>
      <c r="E128" s="36"/>
      <c r="F128" s="36"/>
      <c r="G128" s="36"/>
      <c r="H128" s="36"/>
      <c r="I128" s="36"/>
      <c r="J128" s="36"/>
      <c r="K128" s="19">
        <f>SUM(D7:D34)</f>
        <v>53707095.240218408</v>
      </c>
    </row>
    <row r="129" spans="2:11" s="22" customFormat="1" ht="10.5" customHeight="1" x14ac:dyDescent="0.35">
      <c r="B129" s="35" t="s">
        <v>29</v>
      </c>
      <c r="C129" s="36"/>
      <c r="D129" s="36"/>
      <c r="E129" s="36"/>
      <c r="F129" s="36"/>
      <c r="G129" s="36"/>
      <c r="H129" s="36"/>
      <c r="I129" s="36"/>
      <c r="J129" s="36"/>
      <c r="K129" s="19">
        <f>D123</f>
        <v>23531583.284346946</v>
      </c>
    </row>
    <row r="130" spans="2:11" s="22" customFormat="1" ht="10.5" customHeight="1" x14ac:dyDescent="0.35">
      <c r="B130" s="44" t="s">
        <v>30</v>
      </c>
      <c r="C130" s="36"/>
      <c r="D130" s="36"/>
      <c r="E130" s="36"/>
      <c r="F130" s="36"/>
      <c r="G130" s="36"/>
      <c r="H130" s="36"/>
      <c r="I130" s="36"/>
      <c r="J130" s="36"/>
      <c r="K130" s="20">
        <f>K128+K129</f>
        <v>77238678.524565354</v>
      </c>
    </row>
    <row r="131" spans="2:11" s="22" customFormat="1" ht="10.5" customHeight="1" x14ac:dyDescent="0.35">
      <c r="B131" s="40" t="s">
        <v>31</v>
      </c>
      <c r="C131" s="36"/>
      <c r="D131" s="36"/>
      <c r="E131" s="36"/>
      <c r="F131" s="36"/>
      <c r="G131" s="36"/>
      <c r="H131" s="36"/>
      <c r="I131" s="36"/>
      <c r="J131" s="36"/>
      <c r="K131" s="21">
        <f>K127-K130</f>
        <v>18618409.999273017</v>
      </c>
    </row>
    <row r="132" spans="2:11" s="22" customFormat="1" ht="10.5" customHeight="1" x14ac:dyDescent="0.35"/>
    <row r="133" spans="2:11" s="22" customFormat="1" ht="12" customHeight="1" x14ac:dyDescent="0.35">
      <c r="B133" s="42" t="str">
        <f>IF(K131&gt;0,"✔  El refinanciamiento SÍ genera ahorro: $"&amp;TEXT(K131,"#,##0.00")&amp;" en intereses (de $"&amp;TEXT(K127,"#,##0.00")&amp;" a $"&amp;TEXT(K130,"#,##0.00")&amp;")","✘  El refinanciamiento NO genera ahorro: $"&amp;TEXT(ABS(K131),"#,##0.00")&amp;" adicionales en intereses (de $"&amp;TEXT(K127,"#,##0.00")&amp;" a $"&amp;TEXT(K130,"#,##0.00")&amp;")")</f>
        <v>✔  El refinanciamiento SÍ genera ahorro: $18618409,99927 en intereses (de $95857088,52384 a $77238678,52457)</v>
      </c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2:11" s="22" customFormat="1" ht="10.5" customHeight="1" x14ac:dyDescent="0.35"/>
    <row r="135" spans="2:11" s="22" customFormat="1" ht="10.5" customHeight="1" x14ac:dyDescent="0.35"/>
    <row r="136" spans="2:11" s="22" customFormat="1" ht="10.5" customHeight="1" x14ac:dyDescent="0.35"/>
    <row r="137" spans="2:11" s="22" customFormat="1" ht="10.5" customHeight="1" x14ac:dyDescent="0.35"/>
    <row r="138" spans="2:11" s="22" customFormat="1" ht="10.5" customHeight="1" x14ac:dyDescent="0.35"/>
    <row r="139" spans="2:11" s="22" customFormat="1" ht="10.5" customHeight="1" x14ac:dyDescent="0.35"/>
    <row r="140" spans="2:11" s="22" customFormat="1" ht="10.5" customHeight="1" x14ac:dyDescent="0.35"/>
    <row r="141" spans="2:11" s="22" customFormat="1" ht="10.5" customHeight="1" x14ac:dyDescent="0.35"/>
    <row r="142" spans="2:11" s="22" customFormat="1" ht="10.5" customHeight="1" x14ac:dyDescent="0.35"/>
    <row r="143" spans="2:11" s="22" customFormat="1" ht="10.5" customHeight="1" x14ac:dyDescent="0.35"/>
    <row r="144" spans="2:11" s="22" customFormat="1" ht="10.5" customHeight="1" x14ac:dyDescent="0.35"/>
    <row r="145" s="22" customFormat="1" ht="10.5" customHeight="1" x14ac:dyDescent="0.35"/>
    <row r="146" s="22" customFormat="1" ht="10.5" customHeight="1" x14ac:dyDescent="0.35"/>
    <row r="147" s="22" customFormat="1" ht="10.5" customHeight="1" x14ac:dyDescent="0.35"/>
    <row r="148" s="22" customFormat="1" ht="10.5" customHeight="1" x14ac:dyDescent="0.35"/>
    <row r="149" s="22" customFormat="1" ht="10.5" customHeight="1" x14ac:dyDescent="0.35"/>
    <row r="150" s="22" customFormat="1" ht="10.5" customHeight="1" x14ac:dyDescent="0.35"/>
    <row r="151" s="22" customFormat="1" ht="10.5" customHeight="1" x14ac:dyDescent="0.35"/>
    <row r="152" s="22" customFormat="1" ht="10.5" customHeight="1" x14ac:dyDescent="0.35"/>
    <row r="153" s="22" customFormat="1" ht="10.5" customHeight="1" x14ac:dyDescent="0.35"/>
    <row r="154" s="22" customFormat="1" ht="10.5" customHeight="1" x14ac:dyDescent="0.35"/>
    <row r="155" s="22" customFormat="1" ht="10.5" customHeight="1" x14ac:dyDescent="0.35"/>
    <row r="156" s="22" customFormat="1" ht="10.5" customHeight="1" x14ac:dyDescent="0.35"/>
    <row r="157" s="22" customFormat="1" ht="10.5" customHeight="1" x14ac:dyDescent="0.35"/>
    <row r="158" s="22" customFormat="1" ht="10.5" customHeight="1" x14ac:dyDescent="0.35"/>
    <row r="159" s="22" customFormat="1" ht="10.5" customHeight="1" x14ac:dyDescent="0.35"/>
    <row r="160" s="22" customFormat="1" ht="10.5" customHeight="1" x14ac:dyDescent="0.35"/>
    <row r="161" s="22" customFormat="1" ht="10.5" customHeight="1" x14ac:dyDescent="0.35"/>
    <row r="162" s="22" customFormat="1" ht="10.5" customHeight="1" x14ac:dyDescent="0.35"/>
    <row r="163" s="22" customFormat="1" ht="10.5" customHeight="1" x14ac:dyDescent="0.35"/>
    <row r="164" s="22" customFormat="1" ht="10.5" customHeight="1" x14ac:dyDescent="0.35"/>
    <row r="165" s="22" customFormat="1" ht="10.5" customHeight="1" x14ac:dyDescent="0.35"/>
    <row r="166" s="22" customFormat="1" ht="10.5" customHeight="1" x14ac:dyDescent="0.35"/>
    <row r="167" s="22" customFormat="1" ht="10.5" customHeight="1" x14ac:dyDescent="0.35"/>
    <row r="168" s="22" customFormat="1" ht="10.5" customHeight="1" x14ac:dyDescent="0.35"/>
    <row r="169" s="22" customFormat="1" ht="10.5" customHeight="1" x14ac:dyDescent="0.35"/>
    <row r="170" s="22" customFormat="1" ht="10.5" customHeight="1" x14ac:dyDescent="0.35"/>
    <row r="171" s="22" customFormat="1" ht="10.5" customHeight="1" x14ac:dyDescent="0.35"/>
    <row r="172" s="22" customFormat="1" ht="10.5" customHeight="1" x14ac:dyDescent="0.35"/>
    <row r="173" s="22" customFormat="1" ht="10.5" customHeight="1" x14ac:dyDescent="0.35"/>
    <row r="174" s="22" customFormat="1" ht="10.5" customHeight="1" x14ac:dyDescent="0.35"/>
    <row r="175" s="22" customFormat="1" ht="10.5" customHeight="1" x14ac:dyDescent="0.35"/>
    <row r="176" s="22" customFormat="1" ht="10.5" customHeight="1" x14ac:dyDescent="0.35"/>
    <row r="177" s="22" customFormat="1" ht="10.5" customHeight="1" x14ac:dyDescent="0.35"/>
    <row r="178" s="22" customFormat="1" ht="10.5" customHeight="1" x14ac:dyDescent="0.35"/>
    <row r="179" s="22" customFormat="1" ht="10.5" customHeight="1" x14ac:dyDescent="0.35"/>
    <row r="180" s="22" customFormat="1" ht="10.5" customHeight="1" x14ac:dyDescent="0.35"/>
    <row r="181" s="22" customFormat="1" ht="10.5" customHeight="1" x14ac:dyDescent="0.35"/>
    <row r="182" s="22" customFormat="1" ht="10.5" customHeight="1" x14ac:dyDescent="0.35"/>
    <row r="183" s="22" customFormat="1" ht="10.5" customHeight="1" x14ac:dyDescent="0.35"/>
    <row r="184" s="22" customFormat="1" ht="10.5" customHeight="1" x14ac:dyDescent="0.35"/>
    <row r="185" s="22" customFormat="1" ht="10.5" customHeight="1" x14ac:dyDescent="0.35"/>
    <row r="186" s="22" customFormat="1" ht="10.5" customHeight="1" x14ac:dyDescent="0.35"/>
    <row r="187" s="22" customFormat="1" ht="10.5" customHeight="1" x14ac:dyDescent="0.35"/>
    <row r="188" s="22" customFormat="1" ht="10.5" customHeight="1" x14ac:dyDescent="0.35"/>
    <row r="189" s="22" customFormat="1" ht="10.5" customHeight="1" x14ac:dyDescent="0.35"/>
    <row r="190" s="22" customFormat="1" ht="10.5" customHeight="1" x14ac:dyDescent="0.35"/>
    <row r="191" s="22" customFormat="1" ht="10.5" customHeight="1" x14ac:dyDescent="0.35"/>
    <row r="192" s="22" customFormat="1" ht="10.5" customHeight="1" x14ac:dyDescent="0.35"/>
    <row r="193" s="22" customFormat="1" ht="10.5" customHeight="1" x14ac:dyDescent="0.35"/>
    <row r="194" s="22" customFormat="1" ht="10.5" customHeight="1" x14ac:dyDescent="0.35"/>
    <row r="195" s="22" customFormat="1" ht="10.5" customHeight="1" x14ac:dyDescent="0.35"/>
    <row r="196" s="22" customFormat="1" ht="10.5" customHeight="1" x14ac:dyDescent="0.35"/>
    <row r="197" s="22" customFormat="1" ht="10.5" customHeight="1" x14ac:dyDescent="0.35"/>
    <row r="198" s="22" customFormat="1" ht="10.5" customHeight="1" x14ac:dyDescent="0.35"/>
    <row r="199" s="22" customFormat="1" ht="10.5" customHeight="1" x14ac:dyDescent="0.35"/>
    <row r="200" s="22" customFormat="1" ht="10.5" customHeight="1" x14ac:dyDescent="0.35"/>
    <row r="201" s="22" customFormat="1" ht="10.5" customHeight="1" x14ac:dyDescent="0.35"/>
    <row r="202" s="22" customFormat="1" ht="10.5" customHeight="1" x14ac:dyDescent="0.35"/>
    <row r="203" s="22" customFormat="1" ht="10.5" customHeight="1" x14ac:dyDescent="0.35"/>
    <row r="204" s="22" customFormat="1" ht="10.5" customHeight="1" x14ac:dyDescent="0.35"/>
    <row r="205" s="22" customFormat="1" ht="10.5" customHeight="1" x14ac:dyDescent="0.35"/>
    <row r="206" s="22" customFormat="1" ht="10.5" customHeight="1" x14ac:dyDescent="0.35"/>
    <row r="207" s="22" customFormat="1" ht="10.5" customHeight="1" x14ac:dyDescent="0.35"/>
    <row r="208" s="22" customFormat="1" ht="10.5" customHeight="1" x14ac:dyDescent="0.35"/>
    <row r="209" s="22" customFormat="1" ht="10.5" customHeight="1" x14ac:dyDescent="0.35"/>
    <row r="210" s="22" customFormat="1" ht="10.5" customHeight="1" x14ac:dyDescent="0.35"/>
    <row r="211" s="22" customFormat="1" ht="10.5" customHeight="1" x14ac:dyDescent="0.35"/>
    <row r="212" s="22" customFormat="1" ht="10.5" customHeight="1" x14ac:dyDescent="0.35"/>
    <row r="213" s="22" customFormat="1" ht="10.5" customHeight="1" x14ac:dyDescent="0.35"/>
    <row r="214" s="22" customFormat="1" ht="10.5" customHeight="1" x14ac:dyDescent="0.35"/>
    <row r="215" s="22" customFormat="1" ht="10.5" customHeight="1" x14ac:dyDescent="0.35"/>
    <row r="216" s="22" customFormat="1" ht="10.5" customHeight="1" x14ac:dyDescent="0.35"/>
    <row r="217" s="22" customFormat="1" ht="10.5" customHeight="1" x14ac:dyDescent="0.35"/>
    <row r="218" s="22" customFormat="1" ht="10.5" customHeight="1" x14ac:dyDescent="0.35"/>
    <row r="219" s="22" customFormat="1" ht="10.5" customHeight="1" x14ac:dyDescent="0.35"/>
    <row r="220" s="22" customFormat="1" ht="10.5" customHeight="1" x14ac:dyDescent="0.35"/>
    <row r="221" s="22" customFormat="1" ht="10.5" customHeight="1" x14ac:dyDescent="0.35"/>
    <row r="222" s="22" customFormat="1" ht="10.5" customHeight="1" x14ac:dyDescent="0.35"/>
    <row r="223" s="22" customFormat="1" ht="10.5" customHeight="1" x14ac:dyDescent="0.35"/>
    <row r="224" s="22" customFormat="1" ht="10.5" customHeight="1" x14ac:dyDescent="0.35"/>
    <row r="225" s="22" customFormat="1" ht="10.5" customHeight="1" x14ac:dyDescent="0.35"/>
    <row r="226" s="22" customFormat="1" ht="10.5" customHeight="1" x14ac:dyDescent="0.35"/>
    <row r="227" s="22" customFormat="1" ht="10.5" customHeight="1" x14ac:dyDescent="0.35"/>
    <row r="228" s="22" customFormat="1" ht="10.5" customHeight="1" x14ac:dyDescent="0.35"/>
    <row r="229" s="22" customFormat="1" ht="10.5" customHeight="1" x14ac:dyDescent="0.35"/>
    <row r="230" s="22" customFormat="1" ht="10.5" customHeight="1" x14ac:dyDescent="0.35"/>
    <row r="231" s="22" customFormat="1" ht="10.5" customHeight="1" x14ac:dyDescent="0.35"/>
    <row r="232" s="22" customFormat="1" ht="10.5" customHeight="1" x14ac:dyDescent="0.35"/>
    <row r="233" s="22" customFormat="1" ht="10.5" customHeight="1" x14ac:dyDescent="0.35"/>
    <row r="234" s="22" customFormat="1" ht="10.5" customHeight="1" x14ac:dyDescent="0.35"/>
    <row r="235" s="22" customFormat="1" ht="10.5" customHeight="1" x14ac:dyDescent="0.35"/>
    <row r="236" s="22" customFormat="1" ht="10.5" customHeight="1" x14ac:dyDescent="0.35"/>
    <row r="237" s="22" customFormat="1" ht="10.5" customHeight="1" x14ac:dyDescent="0.35"/>
    <row r="238" s="22" customFormat="1" ht="10.5" customHeight="1" x14ac:dyDescent="0.35"/>
    <row r="239" s="22" customFormat="1" ht="10.5" customHeight="1" x14ac:dyDescent="0.35"/>
    <row r="240" s="22" customFormat="1" ht="10.5" customHeight="1" x14ac:dyDescent="0.35"/>
    <row r="241" s="22" customFormat="1" ht="10.5" customHeight="1" x14ac:dyDescent="0.35"/>
    <row r="242" s="22" customFormat="1" ht="10.5" customHeight="1" x14ac:dyDescent="0.35"/>
    <row r="243" s="22" customFormat="1" ht="10.5" customHeight="1" x14ac:dyDescent="0.35"/>
    <row r="244" s="22" customFormat="1" ht="10.5" customHeight="1" x14ac:dyDescent="0.35"/>
    <row r="245" s="22" customFormat="1" ht="10.5" customHeight="1" x14ac:dyDescent="0.35"/>
    <row r="246" s="22" customFormat="1" ht="10.5" customHeight="1" x14ac:dyDescent="0.35"/>
    <row r="247" s="22" customFormat="1" ht="10.5" customHeight="1" x14ac:dyDescent="0.35"/>
    <row r="248" s="22" customFormat="1" ht="10.5" customHeight="1" x14ac:dyDescent="0.35"/>
    <row r="249" s="22" customFormat="1" ht="10.5" customHeight="1" x14ac:dyDescent="0.35"/>
    <row r="250" s="22" customFormat="1" ht="10.5" customHeight="1" x14ac:dyDescent="0.35"/>
    <row r="251" s="22" customFormat="1" ht="10.5" customHeight="1" x14ac:dyDescent="0.35"/>
    <row r="252" s="22" customFormat="1" ht="10.5" customHeight="1" x14ac:dyDescent="0.35"/>
    <row r="253" s="22" customFormat="1" ht="10.5" customHeight="1" x14ac:dyDescent="0.35"/>
    <row r="254" s="22" customFormat="1" ht="10.5" customHeight="1" x14ac:dyDescent="0.35"/>
    <row r="255" s="22" customFormat="1" ht="10.5" customHeight="1" x14ac:dyDescent="0.35"/>
    <row r="256" s="22" customFormat="1" ht="10.5" customHeight="1" x14ac:dyDescent="0.35"/>
    <row r="257" s="22" customFormat="1" ht="10.5" customHeight="1" x14ac:dyDescent="0.35"/>
    <row r="258" s="22" customFormat="1" ht="10.5" customHeight="1" x14ac:dyDescent="0.35"/>
    <row r="259" s="22" customFormat="1" ht="10.5" customHeight="1" x14ac:dyDescent="0.35"/>
    <row r="260" s="22" customFormat="1" ht="10.5" customHeight="1" x14ac:dyDescent="0.35"/>
    <row r="261" s="22" customFormat="1" ht="10.5" customHeight="1" x14ac:dyDescent="0.35"/>
    <row r="262" s="22" customFormat="1" ht="10.5" customHeight="1" x14ac:dyDescent="0.35"/>
    <row r="263" s="22" customFormat="1" ht="10.5" customHeight="1" x14ac:dyDescent="0.35"/>
    <row r="264" s="22" customFormat="1" ht="10.5" customHeight="1" x14ac:dyDescent="0.35"/>
    <row r="265" s="22" customFormat="1" ht="10.5" customHeight="1" x14ac:dyDescent="0.35"/>
    <row r="266" s="22" customFormat="1" ht="10.5" customHeight="1" x14ac:dyDescent="0.35"/>
    <row r="267" s="22" customFormat="1" ht="10.5" customHeight="1" x14ac:dyDescent="0.35"/>
    <row r="268" s="22" customFormat="1" ht="10.5" customHeight="1" x14ac:dyDescent="0.35"/>
    <row r="269" s="22" customFormat="1" ht="10.5" customHeight="1" x14ac:dyDescent="0.35"/>
    <row r="270" s="22" customFormat="1" ht="10.5" customHeight="1" x14ac:dyDescent="0.35"/>
    <row r="271" s="22" customFormat="1" ht="10.5" customHeight="1" x14ac:dyDescent="0.35"/>
    <row r="272" s="22" customFormat="1" ht="10.5" customHeight="1" x14ac:dyDescent="0.35"/>
    <row r="273" s="22" customFormat="1" ht="10.5" customHeight="1" x14ac:dyDescent="0.35"/>
    <row r="274" s="22" customFormat="1" ht="10.5" customHeight="1" x14ac:dyDescent="0.35"/>
    <row r="275" s="22" customFormat="1" ht="10.5" customHeight="1" x14ac:dyDescent="0.35"/>
    <row r="276" s="22" customFormat="1" ht="10.5" customHeight="1" x14ac:dyDescent="0.35"/>
    <row r="277" s="22" customFormat="1" ht="10.5" customHeight="1" x14ac:dyDescent="0.35"/>
    <row r="278" s="22" customFormat="1" ht="10.5" customHeight="1" x14ac:dyDescent="0.35"/>
    <row r="279" s="22" customFormat="1" ht="10.5" customHeight="1" x14ac:dyDescent="0.35"/>
    <row r="280" s="22" customFormat="1" ht="10.5" customHeight="1" x14ac:dyDescent="0.35"/>
    <row r="281" s="22" customFormat="1" ht="10.5" customHeight="1" x14ac:dyDescent="0.35"/>
    <row r="282" s="22" customFormat="1" ht="10.5" customHeight="1" x14ac:dyDescent="0.35"/>
    <row r="283" s="22" customFormat="1" ht="10.5" customHeight="1" x14ac:dyDescent="0.35"/>
    <row r="284" s="22" customFormat="1" ht="10.5" customHeight="1" x14ac:dyDescent="0.35"/>
    <row r="285" s="22" customFormat="1" ht="10.5" customHeight="1" x14ac:dyDescent="0.35"/>
    <row r="286" s="22" customFormat="1" ht="10.5" customHeight="1" x14ac:dyDescent="0.35"/>
    <row r="287" s="22" customFormat="1" ht="10.5" customHeight="1" x14ac:dyDescent="0.35"/>
    <row r="288" s="22" customFormat="1" ht="10.5" customHeight="1" x14ac:dyDescent="0.35"/>
    <row r="289" s="22" customFormat="1" ht="10.5" customHeight="1" x14ac:dyDescent="0.35"/>
    <row r="290" s="22" customFormat="1" ht="10.5" customHeight="1" x14ac:dyDescent="0.35"/>
    <row r="291" s="22" customFormat="1" ht="10.5" customHeight="1" x14ac:dyDescent="0.35"/>
    <row r="292" s="22" customFormat="1" ht="10.5" customHeight="1" x14ac:dyDescent="0.35"/>
    <row r="293" s="22" customFormat="1" ht="10.5" customHeight="1" x14ac:dyDescent="0.35"/>
    <row r="294" s="22" customFormat="1" ht="10.5" customHeight="1" x14ac:dyDescent="0.35"/>
    <row r="295" s="22" customFormat="1" ht="10.5" customHeight="1" x14ac:dyDescent="0.35"/>
    <row r="296" s="22" customFormat="1" ht="10.5" customHeight="1" x14ac:dyDescent="0.35"/>
    <row r="297" s="22" customFormat="1" ht="10.5" customHeight="1" x14ac:dyDescent="0.35"/>
    <row r="298" s="22" customFormat="1" ht="10.5" customHeight="1" x14ac:dyDescent="0.35"/>
    <row r="299" s="22" customFormat="1" ht="10.5" customHeight="1" x14ac:dyDescent="0.35"/>
    <row r="300" s="22" customFormat="1" ht="10.5" customHeight="1" x14ac:dyDescent="0.35"/>
    <row r="301" s="22" customFormat="1" ht="10.5" customHeight="1" x14ac:dyDescent="0.35"/>
    <row r="302" s="22" customFormat="1" ht="10.5" customHeight="1" x14ac:dyDescent="0.35"/>
    <row r="303" s="22" customFormat="1" ht="10.5" customHeight="1" x14ac:dyDescent="0.35"/>
    <row r="304" s="22" customFormat="1" ht="10.5" customHeight="1" x14ac:dyDescent="0.35"/>
    <row r="305" s="22" customFormat="1" ht="10.5" customHeight="1" x14ac:dyDescent="0.35"/>
    <row r="306" s="22" customFormat="1" ht="10.5" customHeight="1" x14ac:dyDescent="0.35"/>
    <row r="307" s="22" customFormat="1" ht="10.5" customHeight="1" x14ac:dyDescent="0.35"/>
    <row r="308" s="22" customFormat="1" ht="10.5" customHeight="1" x14ac:dyDescent="0.35"/>
    <row r="309" s="22" customFormat="1" ht="10.5" customHeight="1" x14ac:dyDescent="0.35"/>
    <row r="310" s="22" customFormat="1" ht="10.5" customHeight="1" x14ac:dyDescent="0.35"/>
    <row r="311" s="22" customFormat="1" ht="10.5" customHeight="1" x14ac:dyDescent="0.35"/>
    <row r="312" s="22" customFormat="1" ht="10.5" customHeight="1" x14ac:dyDescent="0.35"/>
    <row r="313" s="22" customFormat="1" ht="10.5" customHeight="1" x14ac:dyDescent="0.35"/>
    <row r="314" s="22" customFormat="1" ht="10.5" customHeight="1" x14ac:dyDescent="0.35"/>
    <row r="315" s="22" customFormat="1" ht="10.5" customHeight="1" x14ac:dyDescent="0.35"/>
    <row r="316" s="22" customFormat="1" ht="10.5" customHeight="1" x14ac:dyDescent="0.35"/>
    <row r="317" s="22" customFormat="1" ht="10.5" customHeight="1" x14ac:dyDescent="0.35"/>
    <row r="318" s="22" customFormat="1" ht="10.5" customHeight="1" x14ac:dyDescent="0.35"/>
    <row r="319" s="22" customFormat="1" ht="10.5" customHeight="1" x14ac:dyDescent="0.35"/>
    <row r="320" s="22" customFormat="1" ht="10.5" customHeight="1" x14ac:dyDescent="0.35"/>
    <row r="321" s="22" customFormat="1" ht="10.5" customHeight="1" x14ac:dyDescent="0.35"/>
    <row r="322" s="22" customFormat="1" ht="10.5" customHeight="1" x14ac:dyDescent="0.35"/>
    <row r="323" s="22" customFormat="1" ht="10.5" customHeight="1" x14ac:dyDescent="0.35"/>
    <row r="324" s="22" customFormat="1" ht="10.5" customHeight="1" x14ac:dyDescent="0.35"/>
    <row r="325" s="22" customFormat="1" ht="10.5" customHeight="1" x14ac:dyDescent="0.35"/>
    <row r="326" s="22" customFormat="1" ht="10.5" customHeight="1" x14ac:dyDescent="0.35"/>
    <row r="327" s="22" customFormat="1" ht="10.5" customHeight="1" x14ac:dyDescent="0.35"/>
    <row r="328" s="22" customFormat="1" ht="10.5" customHeight="1" x14ac:dyDescent="0.35"/>
    <row r="329" s="22" customFormat="1" ht="10.5" customHeight="1" x14ac:dyDescent="0.35"/>
    <row r="330" s="22" customFormat="1" ht="10.5" customHeight="1" x14ac:dyDescent="0.35"/>
    <row r="331" s="22" customFormat="1" ht="10.5" customHeight="1" x14ac:dyDescent="0.35"/>
    <row r="332" s="22" customFormat="1" ht="10.5" customHeight="1" x14ac:dyDescent="0.35"/>
    <row r="333" s="22" customFormat="1" ht="10.5" customHeight="1" x14ac:dyDescent="0.35"/>
    <row r="334" s="22" customFormat="1" ht="10.5" customHeight="1" x14ac:dyDescent="0.35"/>
    <row r="335" s="22" customFormat="1" ht="10.5" customHeight="1" x14ac:dyDescent="0.35"/>
    <row r="336" s="22" customFormat="1" ht="10.5" customHeight="1" x14ac:dyDescent="0.35"/>
    <row r="337" s="22" customFormat="1" ht="10.5" customHeight="1" x14ac:dyDescent="0.35"/>
    <row r="338" s="22" customFormat="1" ht="10.5" customHeight="1" x14ac:dyDescent="0.35"/>
    <row r="339" s="22" customFormat="1" ht="10.5" customHeight="1" x14ac:dyDescent="0.35"/>
    <row r="340" s="22" customFormat="1" ht="10.5" customHeight="1" x14ac:dyDescent="0.35"/>
    <row r="341" s="22" customFormat="1" ht="10.5" customHeight="1" x14ac:dyDescent="0.35"/>
    <row r="342" s="22" customFormat="1" ht="10.5" customHeight="1" x14ac:dyDescent="0.35"/>
    <row r="343" s="22" customFormat="1" ht="10.5" customHeight="1" x14ac:dyDescent="0.35"/>
    <row r="344" s="22" customFormat="1" ht="10.5" customHeight="1" x14ac:dyDescent="0.35"/>
    <row r="345" s="22" customFormat="1" ht="10.5" customHeight="1" x14ac:dyDescent="0.35"/>
    <row r="346" s="22" customFormat="1" ht="10.5" customHeight="1" x14ac:dyDescent="0.35"/>
    <row r="347" s="22" customFormat="1" ht="10.5" customHeight="1" x14ac:dyDescent="0.35"/>
    <row r="348" s="22" customFormat="1" ht="10.5" customHeight="1" x14ac:dyDescent="0.35"/>
    <row r="349" s="22" customFormat="1" ht="10.5" customHeight="1" x14ac:dyDescent="0.35"/>
    <row r="350" s="22" customFormat="1" ht="10.5" customHeight="1" x14ac:dyDescent="0.35"/>
    <row r="351" s="22" customFormat="1" ht="10.5" customHeight="1" x14ac:dyDescent="0.35"/>
    <row r="352" s="22" customFormat="1" ht="10.5" customHeight="1" x14ac:dyDescent="0.35"/>
    <row r="353" s="22" customFormat="1" ht="10.5" customHeight="1" x14ac:dyDescent="0.35"/>
    <row r="354" s="22" customFormat="1" ht="10.5" customHeight="1" x14ac:dyDescent="0.35"/>
    <row r="355" s="22" customFormat="1" ht="10.5" customHeight="1" x14ac:dyDescent="0.35"/>
    <row r="356" s="22" customFormat="1" ht="10.5" customHeight="1" x14ac:dyDescent="0.35"/>
    <row r="357" s="22" customFormat="1" ht="10.5" customHeight="1" x14ac:dyDescent="0.35"/>
    <row r="358" s="22" customFormat="1" ht="10.5" customHeight="1" x14ac:dyDescent="0.35"/>
    <row r="359" s="22" customFormat="1" ht="10.5" customHeight="1" x14ac:dyDescent="0.35"/>
    <row r="360" s="22" customFormat="1" ht="10.5" customHeight="1" x14ac:dyDescent="0.35"/>
    <row r="361" s="22" customFormat="1" ht="10.5" customHeight="1" x14ac:dyDescent="0.35"/>
    <row r="362" s="22" customFormat="1" ht="10.5" customHeight="1" x14ac:dyDescent="0.35"/>
    <row r="363" s="22" customFormat="1" ht="10.5" customHeight="1" x14ac:dyDescent="0.35"/>
    <row r="364" s="22" customFormat="1" ht="10.5" customHeight="1" x14ac:dyDescent="0.35"/>
    <row r="365" s="22" customFormat="1" ht="10.5" customHeight="1" x14ac:dyDescent="0.35"/>
    <row r="366" s="22" customFormat="1" ht="10.5" customHeight="1" x14ac:dyDescent="0.35"/>
    <row r="367" s="22" customFormat="1" ht="10.5" customHeight="1" x14ac:dyDescent="0.35"/>
    <row r="368" s="22" customFormat="1" ht="10.5" customHeight="1" x14ac:dyDescent="0.35"/>
    <row r="369" s="22" customFormat="1" ht="10.5" customHeight="1" x14ac:dyDescent="0.35"/>
    <row r="370" s="22" customFormat="1" ht="10.5" customHeight="1" x14ac:dyDescent="0.35"/>
    <row r="371" s="22" customFormat="1" ht="10.5" customHeight="1" x14ac:dyDescent="0.35"/>
    <row r="372" s="22" customFormat="1" ht="10.5" customHeight="1" x14ac:dyDescent="0.35"/>
    <row r="373" s="22" customFormat="1" ht="10.5" customHeight="1" x14ac:dyDescent="0.35"/>
    <row r="374" s="22" customFormat="1" ht="10.5" customHeight="1" x14ac:dyDescent="0.35"/>
    <row r="375" s="22" customFormat="1" ht="10.5" customHeight="1" x14ac:dyDescent="0.35"/>
    <row r="376" s="22" customFormat="1" ht="10.5" customHeight="1" x14ac:dyDescent="0.35"/>
    <row r="377" s="22" customFormat="1" ht="10.5" customHeight="1" x14ac:dyDescent="0.35"/>
    <row r="378" s="22" customFormat="1" ht="10.5" customHeight="1" x14ac:dyDescent="0.35"/>
    <row r="379" s="22" customFormat="1" ht="10.5" customHeight="1" x14ac:dyDescent="0.35"/>
    <row r="380" s="22" customFormat="1" ht="10.5" customHeight="1" x14ac:dyDescent="0.35"/>
    <row r="381" s="22" customFormat="1" ht="10.5" customHeight="1" x14ac:dyDescent="0.35"/>
    <row r="382" s="22" customFormat="1" ht="10.5" customHeight="1" x14ac:dyDescent="0.35"/>
    <row r="383" s="22" customFormat="1" ht="10.5" customHeight="1" x14ac:dyDescent="0.35"/>
    <row r="384" s="22" customFormat="1" ht="10.5" customHeight="1" x14ac:dyDescent="0.35"/>
    <row r="385" s="22" customFormat="1" ht="10.5" customHeight="1" x14ac:dyDescent="0.35"/>
    <row r="386" s="22" customFormat="1" ht="10.5" customHeight="1" x14ac:dyDescent="0.35"/>
    <row r="387" s="22" customFormat="1" ht="10.5" customHeight="1" x14ac:dyDescent="0.35"/>
    <row r="388" s="22" customFormat="1" ht="10.5" customHeight="1" x14ac:dyDescent="0.35"/>
    <row r="389" s="22" customFormat="1" ht="10.5" customHeight="1" x14ac:dyDescent="0.35"/>
    <row r="390" s="22" customFormat="1" ht="10.5" customHeight="1" x14ac:dyDescent="0.35"/>
    <row r="391" s="22" customFormat="1" ht="10.5" customHeight="1" x14ac:dyDescent="0.35"/>
    <row r="392" s="22" customFormat="1" ht="10.5" customHeight="1" x14ac:dyDescent="0.35"/>
    <row r="393" s="22" customFormat="1" ht="10.5" customHeight="1" x14ac:dyDescent="0.35"/>
    <row r="394" s="22" customFormat="1" ht="10.5" customHeight="1" x14ac:dyDescent="0.35"/>
    <row r="395" s="22" customFormat="1" ht="10.5" customHeight="1" x14ac:dyDescent="0.35"/>
    <row r="396" s="22" customFormat="1" ht="10.5" customHeight="1" x14ac:dyDescent="0.35"/>
    <row r="397" s="22" customFormat="1" ht="10.5" customHeight="1" x14ac:dyDescent="0.35"/>
    <row r="398" s="22" customFormat="1" ht="10.5" customHeight="1" x14ac:dyDescent="0.35"/>
    <row r="399" s="22" customFormat="1" ht="10.5" customHeight="1" x14ac:dyDescent="0.35"/>
    <row r="400" s="22" customFormat="1" ht="10.5" customHeight="1" x14ac:dyDescent="0.35"/>
    <row r="401" s="22" customFormat="1" ht="10.5" customHeight="1" x14ac:dyDescent="0.35"/>
    <row r="402" s="22" customFormat="1" ht="10.5" customHeight="1" x14ac:dyDescent="0.35"/>
    <row r="403" s="22" customFormat="1" ht="10.5" customHeight="1" x14ac:dyDescent="0.35"/>
    <row r="404" s="22" customFormat="1" ht="10.5" customHeight="1" x14ac:dyDescent="0.35"/>
    <row r="405" s="22" customFormat="1" ht="10.5" customHeight="1" x14ac:dyDescent="0.35"/>
    <row r="406" s="22" customFormat="1" ht="10.5" customHeight="1" x14ac:dyDescent="0.35"/>
    <row r="407" s="22" customFormat="1" ht="10.5" customHeight="1" x14ac:dyDescent="0.35"/>
    <row r="408" s="22" customFormat="1" ht="10.5" customHeight="1" x14ac:dyDescent="0.35"/>
    <row r="409" s="22" customFormat="1" ht="10.5" customHeight="1" x14ac:dyDescent="0.35"/>
    <row r="410" s="22" customFormat="1" ht="10.5" customHeight="1" x14ac:dyDescent="0.35"/>
    <row r="411" s="22" customFormat="1" ht="10.5" customHeight="1" x14ac:dyDescent="0.35"/>
    <row r="412" s="22" customFormat="1" ht="10.5" customHeight="1" x14ac:dyDescent="0.35"/>
    <row r="413" s="22" customFormat="1" ht="10.5" customHeight="1" x14ac:dyDescent="0.35"/>
    <row r="414" s="22" customFormat="1" ht="10.5" customHeight="1" x14ac:dyDescent="0.35"/>
    <row r="415" s="22" customFormat="1" ht="10.5" customHeight="1" x14ac:dyDescent="0.35"/>
    <row r="416" s="22" customFormat="1" ht="10.5" customHeight="1" x14ac:dyDescent="0.35"/>
    <row r="417" s="22" customFormat="1" ht="10.5" customHeight="1" x14ac:dyDescent="0.35"/>
    <row r="418" s="22" customFormat="1" ht="10.5" customHeight="1" x14ac:dyDescent="0.35"/>
    <row r="419" s="22" customFormat="1" ht="10.5" customHeight="1" x14ac:dyDescent="0.35"/>
    <row r="420" s="22" customFormat="1" ht="10.5" customHeight="1" x14ac:dyDescent="0.35"/>
    <row r="421" s="22" customFormat="1" ht="10.5" customHeight="1" x14ac:dyDescent="0.35"/>
    <row r="422" s="22" customFormat="1" ht="10.5" customHeight="1" x14ac:dyDescent="0.35"/>
    <row r="423" s="22" customFormat="1" ht="10.5" customHeight="1" x14ac:dyDescent="0.35"/>
    <row r="424" s="22" customFormat="1" ht="10.5" customHeight="1" x14ac:dyDescent="0.35"/>
    <row r="425" s="22" customFormat="1" ht="10.5" customHeight="1" x14ac:dyDescent="0.35"/>
    <row r="426" s="22" customFormat="1" ht="10.5" customHeight="1" x14ac:dyDescent="0.35"/>
    <row r="427" s="22" customFormat="1" ht="10.5" customHeight="1" x14ac:dyDescent="0.35"/>
    <row r="428" s="22" customFormat="1" ht="10.5" customHeight="1" x14ac:dyDescent="0.35"/>
    <row r="429" s="22" customFormat="1" ht="10.5" customHeight="1" x14ac:dyDescent="0.35"/>
    <row r="430" s="22" customFormat="1" ht="10.5" customHeight="1" x14ac:dyDescent="0.35"/>
    <row r="431" s="22" customFormat="1" ht="10.5" customHeight="1" x14ac:dyDescent="0.35"/>
    <row r="432" s="22" customFormat="1" ht="10.5" customHeight="1" x14ac:dyDescent="0.35"/>
    <row r="433" s="22" customFormat="1" ht="10.5" customHeight="1" x14ac:dyDescent="0.35"/>
    <row r="434" s="22" customFormat="1" ht="10.5" customHeight="1" x14ac:dyDescent="0.35"/>
    <row r="435" s="22" customFormat="1" ht="10.5" customHeight="1" x14ac:dyDescent="0.35"/>
    <row r="436" s="22" customFormat="1" ht="10.5" customHeight="1" x14ac:dyDescent="0.35"/>
    <row r="437" s="22" customFormat="1" ht="10.5" customHeight="1" x14ac:dyDescent="0.35"/>
    <row r="438" s="22" customFormat="1" ht="10.5" customHeight="1" x14ac:dyDescent="0.35"/>
    <row r="439" s="22" customFormat="1" ht="10.5" customHeight="1" x14ac:dyDescent="0.35"/>
    <row r="440" s="22" customFormat="1" ht="10.5" customHeight="1" x14ac:dyDescent="0.35"/>
    <row r="441" s="22" customFormat="1" ht="10.5" customHeight="1" x14ac:dyDescent="0.35"/>
    <row r="442" s="22" customFormat="1" ht="10.5" customHeight="1" x14ac:dyDescent="0.35"/>
    <row r="443" s="22" customFormat="1" ht="10.5" customHeight="1" x14ac:dyDescent="0.35"/>
    <row r="444" s="22" customFormat="1" ht="10.5" customHeight="1" x14ac:dyDescent="0.35"/>
    <row r="445" s="22" customFormat="1" ht="10.5" customHeight="1" x14ac:dyDescent="0.35"/>
    <row r="446" s="22" customFormat="1" ht="10.5" customHeight="1" x14ac:dyDescent="0.35"/>
    <row r="447" s="22" customFormat="1" ht="10.5" customHeight="1" x14ac:dyDescent="0.35"/>
    <row r="448" s="22" customFormat="1" ht="10.5" customHeight="1" x14ac:dyDescent="0.35"/>
    <row r="449" s="22" customFormat="1" ht="10.5" customHeight="1" x14ac:dyDescent="0.35"/>
    <row r="450" s="22" customFormat="1" ht="10.5" customHeight="1" x14ac:dyDescent="0.35"/>
    <row r="451" s="22" customFormat="1" ht="10.5" customHeight="1" x14ac:dyDescent="0.35"/>
    <row r="452" s="22" customFormat="1" ht="10.5" customHeight="1" x14ac:dyDescent="0.35"/>
    <row r="453" s="22" customFormat="1" ht="10.5" customHeight="1" x14ac:dyDescent="0.35"/>
    <row r="454" s="22" customFormat="1" ht="10.5" customHeight="1" x14ac:dyDescent="0.35"/>
    <row r="455" s="22" customFormat="1" ht="10.5" customHeight="1" x14ac:dyDescent="0.35"/>
    <row r="456" s="22" customFormat="1" ht="10.5" customHeight="1" x14ac:dyDescent="0.35"/>
    <row r="457" s="22" customFormat="1" ht="10.5" customHeight="1" x14ac:dyDescent="0.35"/>
    <row r="458" s="22" customFormat="1" ht="10.5" customHeight="1" x14ac:dyDescent="0.35"/>
    <row r="459" s="22" customFormat="1" ht="10.5" customHeight="1" x14ac:dyDescent="0.35"/>
    <row r="460" s="22" customFormat="1" ht="10.5" customHeight="1" x14ac:dyDescent="0.35"/>
    <row r="461" s="22" customFormat="1" ht="10.5" customHeight="1" x14ac:dyDescent="0.35"/>
    <row r="462" s="22" customFormat="1" ht="10.5" customHeight="1" x14ac:dyDescent="0.35"/>
    <row r="463" s="22" customFormat="1" ht="10.5" customHeight="1" x14ac:dyDescent="0.35"/>
    <row r="464" s="22" customFormat="1" ht="10.5" customHeight="1" x14ac:dyDescent="0.35"/>
    <row r="465" s="22" customFormat="1" ht="10.5" customHeight="1" x14ac:dyDescent="0.35"/>
    <row r="466" s="22" customFormat="1" ht="10.5" customHeight="1" x14ac:dyDescent="0.35"/>
    <row r="467" s="22" customFormat="1" ht="10.5" customHeight="1" x14ac:dyDescent="0.35"/>
    <row r="468" s="22" customFormat="1" ht="10.5" customHeight="1" x14ac:dyDescent="0.35"/>
    <row r="469" s="22" customFormat="1" ht="10.5" customHeight="1" x14ac:dyDescent="0.35"/>
    <row r="470" s="22" customFormat="1" ht="10.5" customHeight="1" x14ac:dyDescent="0.35"/>
    <row r="471" s="22" customFormat="1" ht="10.5" customHeight="1" x14ac:dyDescent="0.35"/>
    <row r="472" s="22" customFormat="1" ht="10.5" customHeight="1" x14ac:dyDescent="0.35"/>
    <row r="473" s="22" customFormat="1" ht="10.5" customHeight="1" x14ac:dyDescent="0.35"/>
    <row r="474" s="22" customFormat="1" ht="10.5" customHeight="1" x14ac:dyDescent="0.35"/>
    <row r="475" s="22" customFormat="1" ht="10.5" customHeight="1" x14ac:dyDescent="0.35"/>
    <row r="476" s="22" customFormat="1" ht="10.5" customHeight="1" x14ac:dyDescent="0.35"/>
    <row r="477" s="22" customFormat="1" ht="10.5" customHeight="1" x14ac:dyDescent="0.35"/>
    <row r="478" s="22" customFormat="1" ht="10.5" customHeight="1" x14ac:dyDescent="0.35"/>
    <row r="479" s="22" customFormat="1" ht="10.5" customHeight="1" x14ac:dyDescent="0.35"/>
    <row r="480" s="22" customFormat="1" ht="10.5" customHeight="1" x14ac:dyDescent="0.35"/>
    <row r="481" s="22" customFormat="1" ht="10.5" customHeight="1" x14ac:dyDescent="0.35"/>
    <row r="482" s="22" customFormat="1" ht="10.5" customHeight="1" x14ac:dyDescent="0.35"/>
    <row r="483" s="22" customFormat="1" ht="10.5" customHeight="1" x14ac:dyDescent="0.35"/>
    <row r="484" s="22" customFormat="1" ht="10.5" customHeight="1" x14ac:dyDescent="0.35"/>
    <row r="485" s="22" customFormat="1" ht="10.5" customHeight="1" x14ac:dyDescent="0.35"/>
    <row r="486" s="22" customFormat="1" ht="10.5" customHeight="1" x14ac:dyDescent="0.35"/>
    <row r="487" s="22" customFormat="1" ht="10.5" customHeight="1" x14ac:dyDescent="0.35"/>
    <row r="488" s="22" customFormat="1" ht="10.5" customHeight="1" x14ac:dyDescent="0.35"/>
    <row r="489" s="22" customFormat="1" ht="10.5" customHeight="1" x14ac:dyDescent="0.35"/>
    <row r="490" s="22" customFormat="1" ht="10.5" customHeight="1" x14ac:dyDescent="0.35"/>
    <row r="491" s="22" customFormat="1" ht="10.5" customHeight="1" x14ac:dyDescent="0.35"/>
    <row r="492" s="22" customFormat="1" ht="10.5" customHeight="1" x14ac:dyDescent="0.35"/>
    <row r="493" s="22" customFormat="1" ht="10.5" customHeight="1" x14ac:dyDescent="0.35"/>
    <row r="494" s="22" customFormat="1" ht="10.5" customHeight="1" x14ac:dyDescent="0.35"/>
    <row r="495" s="22" customFormat="1" ht="10.5" customHeight="1" x14ac:dyDescent="0.35"/>
    <row r="496" s="22" customFormat="1" ht="10.5" customHeight="1" x14ac:dyDescent="0.35"/>
    <row r="497" s="22" customFormat="1" ht="10.5" customHeight="1" x14ac:dyDescent="0.35"/>
    <row r="498" s="22" customFormat="1" ht="10.5" customHeight="1" x14ac:dyDescent="0.35"/>
    <row r="499" s="22" customFormat="1" ht="10.5" customHeight="1" x14ac:dyDescent="0.35"/>
    <row r="500" s="22" customFormat="1" ht="10.5" customHeight="1" x14ac:dyDescent="0.35"/>
    <row r="501" s="22" customFormat="1" ht="10.5" customHeight="1" x14ac:dyDescent="0.35"/>
    <row r="502" s="22" customFormat="1" ht="10.5" customHeight="1" x14ac:dyDescent="0.35"/>
    <row r="503" s="22" customFormat="1" ht="10.5" customHeight="1" x14ac:dyDescent="0.35"/>
    <row r="504" s="22" customFormat="1" ht="10.5" customHeight="1" x14ac:dyDescent="0.35"/>
    <row r="505" s="22" customFormat="1" ht="10.5" customHeight="1" x14ac:dyDescent="0.35"/>
    <row r="506" s="22" customFormat="1" ht="10.5" customHeight="1" x14ac:dyDescent="0.35"/>
    <row r="507" s="22" customFormat="1" ht="10.5" customHeight="1" x14ac:dyDescent="0.35"/>
    <row r="508" s="22" customFormat="1" ht="10.5" customHeight="1" x14ac:dyDescent="0.35"/>
    <row r="509" s="22" customFormat="1" ht="10.5" customHeight="1" x14ac:dyDescent="0.35"/>
    <row r="510" s="22" customFormat="1" ht="10.5" customHeight="1" x14ac:dyDescent="0.35"/>
    <row r="511" s="22" customFormat="1" ht="10.5" customHeight="1" x14ac:dyDescent="0.35"/>
    <row r="512" s="22" customFormat="1" ht="10.5" customHeight="1" x14ac:dyDescent="0.35"/>
    <row r="513" s="22" customFormat="1" ht="10.5" customHeight="1" x14ac:dyDescent="0.35"/>
    <row r="514" s="22" customFormat="1" ht="10.5" customHeight="1" x14ac:dyDescent="0.35"/>
    <row r="515" s="22" customFormat="1" ht="10.5" customHeight="1" x14ac:dyDescent="0.35"/>
    <row r="516" s="22" customFormat="1" ht="10.5" customHeight="1" x14ac:dyDescent="0.35"/>
    <row r="517" s="22" customFormat="1" ht="10.5" customHeight="1" x14ac:dyDescent="0.35"/>
    <row r="518" s="22" customFormat="1" ht="10.5" customHeight="1" x14ac:dyDescent="0.35"/>
    <row r="519" s="22" customFormat="1" ht="10.5" customHeight="1" x14ac:dyDescent="0.35"/>
    <row r="520" s="22" customFormat="1" ht="10.5" customHeight="1" x14ac:dyDescent="0.35"/>
    <row r="521" s="22" customFormat="1" ht="10.5" customHeight="1" x14ac:dyDescent="0.35"/>
    <row r="522" s="22" customFormat="1" ht="10.5" customHeight="1" x14ac:dyDescent="0.35"/>
    <row r="523" s="22" customFormat="1" ht="10.5" customHeight="1" x14ac:dyDescent="0.35"/>
    <row r="524" s="22" customFormat="1" ht="10.5" customHeight="1" x14ac:dyDescent="0.35"/>
    <row r="525" s="22" customFormat="1" ht="10.5" customHeight="1" x14ac:dyDescent="0.35"/>
    <row r="526" s="22" customFormat="1" ht="10.5" customHeight="1" x14ac:dyDescent="0.35"/>
    <row r="527" s="22" customFormat="1" ht="10.5" customHeight="1" x14ac:dyDescent="0.35"/>
    <row r="528" s="22" customFormat="1" ht="10.5" customHeight="1" x14ac:dyDescent="0.35"/>
    <row r="529" s="22" customFormat="1" ht="10.5" customHeight="1" x14ac:dyDescent="0.35"/>
    <row r="530" s="22" customFormat="1" ht="10.5" customHeight="1" x14ac:dyDescent="0.35"/>
    <row r="531" s="22" customFormat="1" ht="10.5" customHeight="1" x14ac:dyDescent="0.35"/>
    <row r="532" s="22" customFormat="1" ht="10.5" customHeight="1" x14ac:dyDescent="0.35"/>
    <row r="533" s="22" customFormat="1" ht="10.5" customHeight="1" x14ac:dyDescent="0.35"/>
    <row r="534" s="22" customFormat="1" ht="10.5" customHeight="1" x14ac:dyDescent="0.35"/>
    <row r="535" s="22" customFormat="1" ht="10.5" customHeight="1" x14ac:dyDescent="0.35"/>
    <row r="536" s="22" customFormat="1" ht="10.5" customHeight="1" x14ac:dyDescent="0.35"/>
    <row r="537" s="22" customFormat="1" ht="10.5" customHeight="1" x14ac:dyDescent="0.35"/>
    <row r="538" s="22" customFormat="1" ht="10.5" customHeight="1" x14ac:dyDescent="0.35"/>
    <row r="539" s="22" customFormat="1" ht="10.5" customHeight="1" x14ac:dyDescent="0.35"/>
    <row r="540" s="22" customFormat="1" ht="10.5" customHeight="1" x14ac:dyDescent="0.35"/>
    <row r="541" s="22" customFormat="1" ht="10.5" customHeight="1" x14ac:dyDescent="0.35"/>
    <row r="542" s="22" customFormat="1" ht="10.5" customHeight="1" x14ac:dyDescent="0.35"/>
    <row r="543" s="22" customFormat="1" ht="10.5" customHeight="1" x14ac:dyDescent="0.35"/>
    <row r="544" s="22" customFormat="1" ht="10.5" customHeight="1" x14ac:dyDescent="0.35"/>
    <row r="545" s="22" customFormat="1" ht="10.5" customHeight="1" x14ac:dyDescent="0.35"/>
    <row r="546" s="22" customFormat="1" ht="10.5" customHeight="1" x14ac:dyDescent="0.35"/>
    <row r="547" s="22" customFormat="1" ht="10.5" customHeight="1" x14ac:dyDescent="0.35"/>
    <row r="548" s="22" customFormat="1" ht="10.5" customHeight="1" x14ac:dyDescent="0.35"/>
    <row r="549" s="22" customFormat="1" ht="10.5" customHeight="1" x14ac:dyDescent="0.35"/>
    <row r="550" s="22" customFormat="1" ht="10.5" customHeight="1" x14ac:dyDescent="0.35"/>
    <row r="551" s="22" customFormat="1" ht="10.5" customHeight="1" x14ac:dyDescent="0.35"/>
    <row r="552" s="22" customFormat="1" ht="10.5" customHeight="1" x14ac:dyDescent="0.35"/>
    <row r="553" s="22" customFormat="1" ht="10.5" customHeight="1" x14ac:dyDescent="0.35"/>
    <row r="554" s="22" customFormat="1" ht="10.5" customHeight="1" x14ac:dyDescent="0.35"/>
    <row r="555" s="22" customFormat="1" ht="10.5" customHeight="1" x14ac:dyDescent="0.35"/>
    <row r="556" s="22" customFormat="1" ht="10.5" customHeight="1" x14ac:dyDescent="0.35"/>
    <row r="557" s="22" customFormat="1" ht="10.5" customHeight="1" x14ac:dyDescent="0.35"/>
    <row r="558" s="22" customFormat="1" ht="10.5" customHeight="1" x14ac:dyDescent="0.35"/>
    <row r="559" s="22" customFormat="1" ht="10.5" customHeight="1" x14ac:dyDescent="0.35"/>
    <row r="560" s="22" customFormat="1" ht="10.5" customHeight="1" x14ac:dyDescent="0.35"/>
    <row r="561" s="22" customFormat="1" ht="10.5" customHeight="1" x14ac:dyDescent="0.35"/>
    <row r="562" s="22" customFormat="1" ht="10.5" customHeight="1" x14ac:dyDescent="0.35"/>
    <row r="563" s="22" customFormat="1" ht="10.5" customHeight="1" x14ac:dyDescent="0.35"/>
    <row r="564" s="22" customFormat="1" ht="10.5" customHeight="1" x14ac:dyDescent="0.35"/>
    <row r="565" s="22" customFormat="1" ht="10.5" customHeight="1" x14ac:dyDescent="0.35"/>
    <row r="566" s="22" customFormat="1" ht="10.5" customHeight="1" x14ac:dyDescent="0.35"/>
    <row r="567" s="22" customFormat="1" ht="10.5" customHeight="1" x14ac:dyDescent="0.35"/>
    <row r="568" s="22" customFormat="1" ht="10.5" customHeight="1" x14ac:dyDescent="0.35"/>
    <row r="569" s="22" customFormat="1" ht="10.5" customHeight="1" x14ac:dyDescent="0.35"/>
    <row r="570" s="22" customFormat="1" ht="10.5" customHeight="1" x14ac:dyDescent="0.35"/>
    <row r="571" s="22" customFormat="1" ht="10.5" customHeight="1" x14ac:dyDescent="0.35"/>
    <row r="572" s="22" customFormat="1" ht="10.5" customHeight="1" x14ac:dyDescent="0.35"/>
    <row r="573" s="22" customFormat="1" ht="10.5" customHeight="1" x14ac:dyDescent="0.35"/>
    <row r="574" s="22" customFormat="1" ht="10.5" customHeight="1" x14ac:dyDescent="0.35"/>
    <row r="575" s="22" customFormat="1" ht="10.5" customHeight="1" x14ac:dyDescent="0.35"/>
    <row r="576" s="22" customFormat="1" ht="10.5" customHeight="1" x14ac:dyDescent="0.35"/>
    <row r="577" s="22" customFormat="1" ht="10.5" customHeight="1" x14ac:dyDescent="0.35"/>
    <row r="578" s="22" customFormat="1" ht="10.5" customHeight="1" x14ac:dyDescent="0.35"/>
    <row r="579" s="22" customFormat="1" ht="10.5" customHeight="1" x14ac:dyDescent="0.35"/>
    <row r="580" s="22" customFormat="1" ht="10.5" customHeight="1" x14ac:dyDescent="0.35"/>
    <row r="581" s="22" customFormat="1" ht="10.5" customHeight="1" x14ac:dyDescent="0.35"/>
    <row r="582" s="22" customFormat="1" ht="10.5" customHeight="1" x14ac:dyDescent="0.35"/>
    <row r="583" s="22" customFormat="1" ht="10.5" customHeight="1" x14ac:dyDescent="0.35"/>
    <row r="584" s="22" customFormat="1" ht="10.5" customHeight="1" x14ac:dyDescent="0.35"/>
    <row r="585" s="22" customFormat="1" ht="10.5" customHeight="1" x14ac:dyDescent="0.35"/>
    <row r="586" s="22" customFormat="1" ht="10.5" customHeight="1" x14ac:dyDescent="0.35"/>
    <row r="587" s="22" customFormat="1" ht="10.5" customHeight="1" x14ac:dyDescent="0.35"/>
    <row r="588" s="22" customFormat="1" ht="10.5" customHeight="1" x14ac:dyDescent="0.35"/>
    <row r="589" s="22" customFormat="1" ht="10.5" customHeight="1" x14ac:dyDescent="0.35"/>
    <row r="590" s="22" customFormat="1" ht="10.5" customHeight="1" x14ac:dyDescent="0.35"/>
    <row r="591" s="22" customFormat="1" ht="10.5" customHeight="1" x14ac:dyDescent="0.35"/>
    <row r="592" s="22" customFormat="1" ht="10.5" customHeight="1" x14ac:dyDescent="0.35"/>
    <row r="593" s="22" customFormat="1" ht="10.5" customHeight="1" x14ac:dyDescent="0.35"/>
    <row r="594" s="22" customFormat="1" ht="10.5" customHeight="1" x14ac:dyDescent="0.35"/>
    <row r="595" s="22" customFormat="1" ht="10.5" customHeight="1" x14ac:dyDescent="0.35"/>
    <row r="596" s="22" customFormat="1" ht="10.5" customHeight="1" x14ac:dyDescent="0.35"/>
    <row r="597" s="22" customFormat="1" ht="10.5" customHeight="1" x14ac:dyDescent="0.35"/>
    <row r="598" s="22" customFormat="1" ht="10.5" customHeight="1" x14ac:dyDescent="0.35"/>
    <row r="599" s="22" customFormat="1" ht="10.5" customHeight="1" x14ac:dyDescent="0.35"/>
    <row r="600" s="22" customFormat="1" ht="10.5" customHeight="1" x14ac:dyDescent="0.35"/>
    <row r="601" s="22" customFormat="1" ht="10.5" customHeight="1" x14ac:dyDescent="0.35"/>
    <row r="602" s="22" customFormat="1" ht="10.5" customHeight="1" x14ac:dyDescent="0.35"/>
    <row r="603" s="22" customFormat="1" ht="10.5" customHeight="1" x14ac:dyDescent="0.35"/>
    <row r="604" s="22" customFormat="1" ht="10.5" customHeight="1" x14ac:dyDescent="0.35"/>
    <row r="605" s="22" customFormat="1" ht="10.5" customHeight="1" x14ac:dyDescent="0.35"/>
    <row r="606" s="22" customFormat="1" ht="10.5" customHeight="1" x14ac:dyDescent="0.35"/>
    <row r="607" s="22" customFormat="1" ht="10.5" customHeight="1" x14ac:dyDescent="0.35"/>
    <row r="608" s="22" customFormat="1" ht="10.5" customHeight="1" x14ac:dyDescent="0.35"/>
    <row r="609" s="22" customFormat="1" ht="10.5" customHeight="1" x14ac:dyDescent="0.35"/>
    <row r="610" s="22" customFormat="1" ht="10.5" customHeight="1" x14ac:dyDescent="0.35"/>
    <row r="611" s="22" customFormat="1" ht="10.5" customHeight="1" x14ac:dyDescent="0.35"/>
    <row r="612" s="22" customFormat="1" ht="10.5" customHeight="1" x14ac:dyDescent="0.35"/>
    <row r="613" s="22" customFormat="1" ht="10.5" customHeight="1" x14ac:dyDescent="0.35"/>
    <row r="614" s="22" customFormat="1" ht="10.5" customHeight="1" x14ac:dyDescent="0.35"/>
    <row r="615" s="22" customFormat="1" ht="10.5" customHeight="1" x14ac:dyDescent="0.35"/>
    <row r="616" s="22" customFormat="1" ht="10.5" customHeight="1" x14ac:dyDescent="0.35"/>
    <row r="617" s="22" customFormat="1" ht="10.5" customHeight="1" x14ac:dyDescent="0.35"/>
    <row r="618" s="22" customFormat="1" ht="10.5" customHeight="1" x14ac:dyDescent="0.35"/>
    <row r="619" s="22" customFormat="1" ht="10.5" customHeight="1" x14ac:dyDescent="0.35"/>
    <row r="620" s="22" customFormat="1" ht="10.5" customHeight="1" x14ac:dyDescent="0.35"/>
    <row r="621" s="22" customFormat="1" ht="10.5" customHeight="1" x14ac:dyDescent="0.35"/>
    <row r="622" s="22" customFormat="1" ht="10.5" customHeight="1" x14ac:dyDescent="0.35"/>
    <row r="623" s="22" customFormat="1" ht="10.5" customHeight="1" x14ac:dyDescent="0.35"/>
    <row r="624" s="22" customFormat="1" ht="10.5" customHeight="1" x14ac:dyDescent="0.35"/>
    <row r="625" s="22" customFormat="1" ht="10.5" customHeight="1" x14ac:dyDescent="0.35"/>
    <row r="626" s="22" customFormat="1" ht="10.5" customHeight="1" x14ac:dyDescent="0.35"/>
    <row r="627" s="22" customFormat="1" ht="10.5" customHeight="1" x14ac:dyDescent="0.35"/>
    <row r="628" s="22" customFormat="1" ht="10.5" customHeight="1" x14ac:dyDescent="0.35"/>
    <row r="629" s="22" customFormat="1" ht="10.5" customHeight="1" x14ac:dyDescent="0.35"/>
    <row r="630" s="22" customFormat="1" ht="10.5" customHeight="1" x14ac:dyDescent="0.35"/>
    <row r="631" s="22" customFormat="1" ht="10.5" customHeight="1" x14ac:dyDescent="0.35"/>
    <row r="632" s="22" customFormat="1" ht="10.5" customHeight="1" x14ac:dyDescent="0.35"/>
    <row r="633" s="22" customFormat="1" ht="10.5" customHeight="1" x14ac:dyDescent="0.35"/>
    <row r="634" s="22" customFormat="1" ht="10.5" customHeight="1" x14ac:dyDescent="0.35"/>
    <row r="635" s="22" customFormat="1" ht="10.5" customHeight="1" x14ac:dyDescent="0.35"/>
    <row r="636" s="22" customFormat="1" ht="10.5" customHeight="1" x14ac:dyDescent="0.35"/>
    <row r="637" s="22" customFormat="1" ht="10.5" customHeight="1" x14ac:dyDescent="0.35"/>
    <row r="638" s="22" customFormat="1" ht="10.5" customHeight="1" x14ac:dyDescent="0.35"/>
    <row r="639" s="22" customFormat="1" ht="10.5" customHeight="1" x14ac:dyDescent="0.35"/>
    <row r="640" s="22" customFormat="1" ht="10.5" customHeight="1" x14ac:dyDescent="0.35"/>
    <row r="641" s="22" customFormat="1" ht="10.5" customHeight="1" x14ac:dyDescent="0.35"/>
    <row r="642" s="22" customFormat="1" ht="10.5" customHeight="1" x14ac:dyDescent="0.35"/>
    <row r="643" s="22" customFormat="1" ht="10.5" customHeight="1" x14ac:dyDescent="0.35"/>
    <row r="644" s="22" customFormat="1" ht="10.5" customHeight="1" x14ac:dyDescent="0.35"/>
    <row r="645" s="22" customFormat="1" ht="10.5" customHeight="1" x14ac:dyDescent="0.35"/>
    <row r="646" s="22" customFormat="1" ht="10.5" customHeight="1" x14ac:dyDescent="0.35"/>
    <row r="647" s="22" customFormat="1" ht="10.5" customHeight="1" x14ac:dyDescent="0.35"/>
    <row r="648" s="22" customFormat="1" ht="10.5" customHeight="1" x14ac:dyDescent="0.35"/>
    <row r="649" s="22" customFormat="1" ht="10.5" customHeight="1" x14ac:dyDescent="0.35"/>
    <row r="650" s="22" customFormat="1" ht="10.5" customHeight="1" x14ac:dyDescent="0.35"/>
    <row r="651" s="22" customFormat="1" ht="10.5" customHeight="1" x14ac:dyDescent="0.35"/>
    <row r="652" s="22" customFormat="1" ht="10.5" customHeight="1" x14ac:dyDescent="0.35"/>
    <row r="653" s="22" customFormat="1" ht="10.5" customHeight="1" x14ac:dyDescent="0.35"/>
    <row r="654" s="22" customFormat="1" ht="10.5" customHeight="1" x14ac:dyDescent="0.35"/>
    <row r="655" s="22" customFormat="1" ht="10.5" customHeight="1" x14ac:dyDescent="0.35"/>
    <row r="656" s="22" customFormat="1" ht="10.5" customHeight="1" x14ac:dyDescent="0.35"/>
    <row r="657" s="22" customFormat="1" ht="10.5" customHeight="1" x14ac:dyDescent="0.35"/>
    <row r="658" s="22" customFormat="1" ht="10.5" customHeight="1" x14ac:dyDescent="0.35"/>
    <row r="659" s="22" customFormat="1" ht="10.5" customHeight="1" x14ac:dyDescent="0.35"/>
    <row r="660" s="22" customFormat="1" ht="10.5" customHeight="1" x14ac:dyDescent="0.35"/>
    <row r="661" s="22" customFormat="1" ht="10.5" customHeight="1" x14ac:dyDescent="0.35"/>
    <row r="662" s="22" customFormat="1" ht="10.5" customHeight="1" x14ac:dyDescent="0.35"/>
    <row r="663" s="22" customFormat="1" ht="10.5" customHeight="1" x14ac:dyDescent="0.35"/>
    <row r="664" s="22" customFormat="1" ht="10.5" customHeight="1" x14ac:dyDescent="0.35"/>
    <row r="665" s="22" customFormat="1" ht="10.5" customHeight="1" x14ac:dyDescent="0.35"/>
    <row r="666" s="22" customFormat="1" ht="10.5" customHeight="1" x14ac:dyDescent="0.35"/>
    <row r="667" s="22" customFormat="1" ht="10.5" customHeight="1" x14ac:dyDescent="0.35"/>
    <row r="668" s="22" customFormat="1" ht="10.5" customHeight="1" x14ac:dyDescent="0.35"/>
    <row r="669" s="22" customFormat="1" ht="10.5" customHeight="1" x14ac:dyDescent="0.35"/>
    <row r="670" s="22" customFormat="1" ht="10.5" customHeight="1" x14ac:dyDescent="0.35"/>
    <row r="671" s="22" customFormat="1" ht="10.5" customHeight="1" x14ac:dyDescent="0.35"/>
    <row r="672" s="22" customFormat="1" ht="10.5" customHeight="1" x14ac:dyDescent="0.35"/>
    <row r="673" s="22" customFormat="1" ht="10.5" customHeight="1" x14ac:dyDescent="0.35"/>
    <row r="674" s="22" customFormat="1" ht="10.5" customHeight="1" x14ac:dyDescent="0.35"/>
    <row r="675" s="22" customFormat="1" ht="10.5" customHeight="1" x14ac:dyDescent="0.35"/>
    <row r="676" s="22" customFormat="1" ht="10.5" customHeight="1" x14ac:dyDescent="0.35"/>
    <row r="677" s="22" customFormat="1" ht="10.5" customHeight="1" x14ac:dyDescent="0.35"/>
    <row r="678" s="22" customFormat="1" ht="10.5" customHeight="1" x14ac:dyDescent="0.35"/>
    <row r="679" s="22" customFormat="1" ht="10.5" customHeight="1" x14ac:dyDescent="0.35"/>
    <row r="680" s="22" customFormat="1" ht="10.5" customHeight="1" x14ac:dyDescent="0.35"/>
    <row r="681" s="22" customFormat="1" ht="10.5" customHeight="1" x14ac:dyDescent="0.35"/>
    <row r="682" s="22" customFormat="1" ht="10.5" customHeight="1" x14ac:dyDescent="0.35"/>
    <row r="683" s="22" customFormat="1" ht="10.5" customHeight="1" x14ac:dyDescent="0.35"/>
    <row r="684" s="22" customFormat="1" ht="10.5" customHeight="1" x14ac:dyDescent="0.35"/>
    <row r="685" s="22" customFormat="1" ht="10.5" customHeight="1" x14ac:dyDescent="0.35"/>
    <row r="686" s="22" customFormat="1" ht="10.5" customHeight="1" x14ac:dyDescent="0.35"/>
    <row r="687" s="22" customFormat="1" ht="10.5" customHeight="1" x14ac:dyDescent="0.35"/>
    <row r="688" s="22" customFormat="1" ht="10.5" customHeight="1" x14ac:dyDescent="0.35"/>
    <row r="689" s="22" customFormat="1" ht="10.5" customHeight="1" x14ac:dyDescent="0.35"/>
    <row r="690" s="22" customFormat="1" ht="10.5" customHeight="1" x14ac:dyDescent="0.35"/>
    <row r="691" s="22" customFormat="1" ht="10.5" customHeight="1" x14ac:dyDescent="0.35"/>
    <row r="692" s="22" customFormat="1" ht="10.5" customHeight="1" x14ac:dyDescent="0.35"/>
    <row r="693" s="22" customFormat="1" ht="10.5" customHeight="1" x14ac:dyDescent="0.35"/>
    <row r="694" s="22" customFormat="1" ht="10.5" customHeight="1" x14ac:dyDescent="0.35"/>
    <row r="695" s="22" customFormat="1" ht="10.5" customHeight="1" x14ac:dyDescent="0.35"/>
    <row r="696" s="22" customFormat="1" ht="10.5" customHeight="1" x14ac:dyDescent="0.35"/>
    <row r="697" s="22" customFormat="1" ht="10.5" customHeight="1" x14ac:dyDescent="0.35"/>
    <row r="698" s="22" customFormat="1" ht="10.5" customHeight="1" x14ac:dyDescent="0.35"/>
    <row r="699" s="22" customFormat="1" ht="10.5" customHeight="1" x14ac:dyDescent="0.35"/>
    <row r="700" s="22" customFormat="1" ht="10.5" customHeight="1" x14ac:dyDescent="0.35"/>
    <row r="701" s="22" customFormat="1" ht="10.5" customHeight="1" x14ac:dyDescent="0.35"/>
    <row r="702" s="22" customFormat="1" ht="10.5" customHeight="1" x14ac:dyDescent="0.35"/>
    <row r="703" s="22" customFormat="1" ht="10.5" customHeight="1" x14ac:dyDescent="0.35"/>
    <row r="704" s="22" customFormat="1" ht="10.5" customHeight="1" x14ac:dyDescent="0.35"/>
    <row r="705" s="22" customFormat="1" ht="10.5" customHeight="1" x14ac:dyDescent="0.35"/>
    <row r="706" s="22" customFormat="1" ht="10.5" customHeight="1" x14ac:dyDescent="0.35"/>
    <row r="707" s="22" customFormat="1" ht="10.5" customHeight="1" x14ac:dyDescent="0.35"/>
    <row r="708" s="22" customFormat="1" ht="10.5" customHeight="1" x14ac:dyDescent="0.35"/>
    <row r="709" s="22" customFormat="1" ht="10.5" customHeight="1" x14ac:dyDescent="0.35"/>
    <row r="710" s="22" customFormat="1" ht="10.5" customHeight="1" x14ac:dyDescent="0.35"/>
    <row r="711" s="22" customFormat="1" ht="10.5" customHeight="1" x14ac:dyDescent="0.35"/>
    <row r="712" s="22" customFormat="1" ht="10.5" customHeight="1" x14ac:dyDescent="0.35"/>
    <row r="713" s="22" customFormat="1" ht="10.5" customHeight="1" x14ac:dyDescent="0.35"/>
    <row r="714" s="22" customFormat="1" ht="10.5" customHeight="1" x14ac:dyDescent="0.35"/>
    <row r="715" s="22" customFormat="1" ht="10.5" customHeight="1" x14ac:dyDescent="0.35"/>
    <row r="716" s="22" customFormat="1" ht="10.5" customHeight="1" x14ac:dyDescent="0.35"/>
    <row r="717" s="22" customFormat="1" ht="10.5" customHeight="1" x14ac:dyDescent="0.35"/>
    <row r="718" s="22" customFormat="1" ht="10.5" customHeight="1" x14ac:dyDescent="0.35"/>
    <row r="719" s="22" customFormat="1" ht="10.5" customHeight="1" x14ac:dyDescent="0.35"/>
    <row r="720" s="22" customFormat="1" ht="10.5" customHeight="1" x14ac:dyDescent="0.35"/>
    <row r="721" s="22" customFormat="1" ht="10.5" customHeight="1" x14ac:dyDescent="0.35"/>
    <row r="722" s="22" customFormat="1" ht="10.5" customHeight="1" x14ac:dyDescent="0.35"/>
    <row r="723" s="22" customFormat="1" ht="10.5" customHeight="1" x14ac:dyDescent="0.35"/>
    <row r="724" s="22" customFormat="1" ht="10.5" customHeight="1" x14ac:dyDescent="0.35"/>
    <row r="725" s="22" customFormat="1" ht="10.5" customHeight="1" x14ac:dyDescent="0.35"/>
    <row r="726" s="22" customFormat="1" ht="10.5" customHeight="1" x14ac:dyDescent="0.35"/>
    <row r="727" s="22" customFormat="1" ht="10.5" customHeight="1" x14ac:dyDescent="0.35"/>
    <row r="728" s="22" customFormat="1" ht="10.5" customHeight="1" x14ac:dyDescent="0.35"/>
    <row r="729" s="22" customFormat="1" ht="10.5" customHeight="1" x14ac:dyDescent="0.35"/>
    <row r="730" s="22" customFormat="1" ht="10.5" customHeight="1" x14ac:dyDescent="0.35"/>
    <row r="731" s="22" customFormat="1" ht="10.5" customHeight="1" x14ac:dyDescent="0.35"/>
    <row r="732" s="22" customFormat="1" ht="10.5" customHeight="1" x14ac:dyDescent="0.35"/>
    <row r="733" s="22" customFormat="1" ht="10.5" customHeight="1" x14ac:dyDescent="0.35"/>
    <row r="734" s="22" customFormat="1" ht="10.5" customHeight="1" x14ac:dyDescent="0.35"/>
    <row r="735" s="22" customFormat="1" ht="10.5" customHeight="1" x14ac:dyDescent="0.35"/>
    <row r="736" s="22" customFormat="1" ht="10.5" customHeight="1" x14ac:dyDescent="0.35"/>
    <row r="737" s="22" customFormat="1" ht="10.5" customHeight="1" x14ac:dyDescent="0.35"/>
    <row r="738" s="22" customFormat="1" ht="10.5" customHeight="1" x14ac:dyDescent="0.35"/>
    <row r="739" s="22" customFormat="1" ht="10.5" customHeight="1" x14ac:dyDescent="0.35"/>
    <row r="740" s="22" customFormat="1" ht="10.5" customHeight="1" x14ac:dyDescent="0.35"/>
    <row r="741" s="22" customFormat="1" ht="10.5" customHeight="1" x14ac:dyDescent="0.35"/>
    <row r="742" s="22" customFormat="1" ht="10.5" customHeight="1" x14ac:dyDescent="0.35"/>
    <row r="743" s="22" customFormat="1" ht="10.5" customHeight="1" x14ac:dyDescent="0.35"/>
    <row r="744" s="22" customFormat="1" ht="10.5" customHeight="1" x14ac:dyDescent="0.35"/>
    <row r="745" s="22" customFormat="1" ht="10.5" customHeight="1" x14ac:dyDescent="0.35"/>
    <row r="746" s="22" customFormat="1" ht="10.5" customHeight="1" x14ac:dyDescent="0.35"/>
    <row r="747" s="22" customFormat="1" ht="10.5" customHeight="1" x14ac:dyDescent="0.35"/>
    <row r="748" s="22" customFormat="1" ht="10.5" customHeight="1" x14ac:dyDescent="0.35"/>
    <row r="749" s="22" customFormat="1" ht="10.5" customHeight="1" x14ac:dyDescent="0.35"/>
    <row r="750" s="22" customFormat="1" ht="10.5" customHeight="1" x14ac:dyDescent="0.35"/>
    <row r="751" s="22" customFormat="1" ht="10.5" customHeight="1" x14ac:dyDescent="0.35"/>
    <row r="752" s="22" customFormat="1" ht="10.5" customHeight="1" x14ac:dyDescent="0.35"/>
    <row r="753" s="22" customFormat="1" ht="10.5" customHeight="1" x14ac:dyDescent="0.35"/>
    <row r="754" s="22" customFormat="1" ht="10.5" customHeight="1" x14ac:dyDescent="0.35"/>
    <row r="755" s="22" customFormat="1" ht="10.5" customHeight="1" x14ac:dyDescent="0.35"/>
    <row r="756" s="22" customFormat="1" ht="10.5" customHeight="1" x14ac:dyDescent="0.35"/>
    <row r="757" s="22" customFormat="1" ht="10.5" customHeight="1" x14ac:dyDescent="0.35"/>
    <row r="758" s="22" customFormat="1" ht="10.5" customHeight="1" x14ac:dyDescent="0.35"/>
    <row r="759" s="22" customFormat="1" ht="10.5" customHeight="1" x14ac:dyDescent="0.35"/>
    <row r="760" s="22" customFormat="1" ht="10.5" customHeight="1" x14ac:dyDescent="0.35"/>
    <row r="761" s="22" customFormat="1" ht="10.5" customHeight="1" x14ac:dyDescent="0.35"/>
    <row r="762" s="22" customFormat="1" ht="10.5" customHeight="1" x14ac:dyDescent="0.35"/>
    <row r="763" s="22" customFormat="1" ht="10.5" customHeight="1" x14ac:dyDescent="0.35"/>
    <row r="764" s="22" customFormat="1" ht="10.5" customHeight="1" x14ac:dyDescent="0.35"/>
    <row r="765" s="22" customFormat="1" ht="10.5" customHeight="1" x14ac:dyDescent="0.35"/>
    <row r="766" s="22" customFormat="1" ht="10.5" customHeight="1" x14ac:dyDescent="0.35"/>
    <row r="767" s="22" customFormat="1" ht="10.5" customHeight="1" x14ac:dyDescent="0.35"/>
    <row r="768" s="22" customFormat="1" ht="10.5" customHeight="1" x14ac:dyDescent="0.35"/>
    <row r="769" s="22" customFormat="1" ht="10.5" customHeight="1" x14ac:dyDescent="0.35"/>
    <row r="770" s="22" customFormat="1" ht="10.5" customHeight="1" x14ac:dyDescent="0.35"/>
    <row r="771" s="22" customFormat="1" ht="10.5" customHeight="1" x14ac:dyDescent="0.35"/>
    <row r="772" s="22" customFormat="1" ht="10.5" customHeight="1" x14ac:dyDescent="0.35"/>
    <row r="773" s="22" customFormat="1" ht="10.5" customHeight="1" x14ac:dyDescent="0.35"/>
    <row r="774" s="22" customFormat="1" ht="10.5" customHeight="1" x14ac:dyDescent="0.35"/>
    <row r="775" s="22" customFormat="1" ht="10.5" customHeight="1" x14ac:dyDescent="0.35"/>
    <row r="776" s="22" customFormat="1" ht="10.5" customHeight="1" x14ac:dyDescent="0.35"/>
    <row r="777" s="22" customFormat="1" ht="10.5" customHeight="1" x14ac:dyDescent="0.35"/>
    <row r="778" s="22" customFormat="1" ht="10.5" customHeight="1" x14ac:dyDescent="0.35"/>
    <row r="779" s="22" customFormat="1" ht="10.5" customHeight="1" x14ac:dyDescent="0.35"/>
    <row r="780" s="22" customFormat="1" ht="10.5" customHeight="1" x14ac:dyDescent="0.35"/>
    <row r="781" s="22" customFormat="1" ht="10.5" customHeight="1" x14ac:dyDescent="0.35"/>
    <row r="782" s="22" customFormat="1" ht="10.5" customHeight="1" x14ac:dyDescent="0.35"/>
    <row r="783" s="22" customFormat="1" ht="10.5" customHeight="1" x14ac:dyDescent="0.35"/>
    <row r="784" s="22" customFormat="1" ht="10.5" customHeight="1" x14ac:dyDescent="0.35"/>
    <row r="785" s="22" customFormat="1" ht="10.5" customHeight="1" x14ac:dyDescent="0.35"/>
    <row r="786" s="22" customFormat="1" ht="10.5" customHeight="1" x14ac:dyDescent="0.35"/>
    <row r="787" s="22" customFormat="1" ht="10.5" customHeight="1" x14ac:dyDescent="0.35"/>
    <row r="788" s="22" customFormat="1" ht="10.5" customHeight="1" x14ac:dyDescent="0.35"/>
    <row r="789" s="22" customFormat="1" ht="10.5" customHeight="1" x14ac:dyDescent="0.35"/>
    <row r="790" s="22" customFormat="1" ht="10.5" customHeight="1" x14ac:dyDescent="0.35"/>
    <row r="791" s="22" customFormat="1" ht="10.5" customHeight="1" x14ac:dyDescent="0.35"/>
    <row r="792" s="22" customFormat="1" ht="10.5" customHeight="1" x14ac:dyDescent="0.35"/>
    <row r="793" s="22" customFormat="1" ht="10.5" customHeight="1" x14ac:dyDescent="0.35"/>
    <row r="794" s="22" customFormat="1" ht="10.5" customHeight="1" x14ac:dyDescent="0.35"/>
    <row r="795" s="22" customFormat="1" ht="10.5" customHeight="1" x14ac:dyDescent="0.35"/>
    <row r="796" s="22" customFormat="1" ht="10.5" customHeight="1" x14ac:dyDescent="0.35"/>
    <row r="797" s="22" customFormat="1" ht="10.5" customHeight="1" x14ac:dyDescent="0.35"/>
    <row r="798" s="22" customFormat="1" ht="10.5" customHeight="1" x14ac:dyDescent="0.35"/>
    <row r="799" s="22" customFormat="1" ht="10.5" customHeight="1" x14ac:dyDescent="0.35"/>
    <row r="800" s="22" customFormat="1" ht="10.5" customHeight="1" x14ac:dyDescent="0.35"/>
    <row r="801" s="22" customFormat="1" ht="10.5" customHeight="1" x14ac:dyDescent="0.35"/>
    <row r="802" s="22" customFormat="1" ht="10.5" customHeight="1" x14ac:dyDescent="0.35"/>
    <row r="803" s="22" customFormat="1" ht="10.5" customHeight="1" x14ac:dyDescent="0.35"/>
    <row r="804" s="22" customFormat="1" ht="10.5" customHeight="1" x14ac:dyDescent="0.35"/>
    <row r="805" s="22" customFormat="1" ht="10.5" customHeight="1" x14ac:dyDescent="0.35"/>
    <row r="806" s="22" customFormat="1" ht="10.5" customHeight="1" x14ac:dyDescent="0.35"/>
    <row r="807" s="22" customFormat="1" ht="10.5" customHeight="1" x14ac:dyDescent="0.35"/>
    <row r="808" s="22" customFormat="1" ht="10.5" customHeight="1" x14ac:dyDescent="0.35"/>
    <row r="809" s="22" customFormat="1" ht="10.5" customHeight="1" x14ac:dyDescent="0.35"/>
    <row r="810" s="22" customFormat="1" ht="10.5" customHeight="1" x14ac:dyDescent="0.35"/>
    <row r="811" s="22" customFormat="1" ht="10.5" customHeight="1" x14ac:dyDescent="0.35"/>
    <row r="812" s="22" customFormat="1" ht="10.5" customHeight="1" x14ac:dyDescent="0.35"/>
    <row r="813" s="22" customFormat="1" ht="10.5" customHeight="1" x14ac:dyDescent="0.35"/>
    <row r="814" s="22" customFormat="1" ht="10.5" customHeight="1" x14ac:dyDescent="0.35"/>
    <row r="815" s="22" customFormat="1" ht="10.5" customHeight="1" x14ac:dyDescent="0.35"/>
    <row r="816" s="22" customFormat="1" ht="10.5" customHeight="1" x14ac:dyDescent="0.35"/>
    <row r="817" s="22" customFormat="1" ht="10.5" customHeight="1" x14ac:dyDescent="0.35"/>
    <row r="818" s="22" customFormat="1" ht="10.5" customHeight="1" x14ac:dyDescent="0.35"/>
    <row r="819" s="22" customFormat="1" ht="10.5" customHeight="1" x14ac:dyDescent="0.35"/>
    <row r="820" s="22" customFormat="1" ht="10.5" customHeight="1" x14ac:dyDescent="0.35"/>
    <row r="821" s="22" customFormat="1" ht="10.5" customHeight="1" x14ac:dyDescent="0.35"/>
    <row r="822" s="22" customFormat="1" ht="10.5" customHeight="1" x14ac:dyDescent="0.35"/>
    <row r="823" s="22" customFormat="1" ht="10.5" customHeight="1" x14ac:dyDescent="0.35"/>
    <row r="824" s="22" customFormat="1" ht="10.5" customHeight="1" x14ac:dyDescent="0.35"/>
    <row r="825" s="22" customFormat="1" ht="10.5" customHeight="1" x14ac:dyDescent="0.35"/>
    <row r="826" s="22" customFormat="1" ht="10.5" customHeight="1" x14ac:dyDescent="0.35"/>
    <row r="827" s="22" customFormat="1" ht="10.5" customHeight="1" x14ac:dyDescent="0.35"/>
    <row r="828" s="22" customFormat="1" ht="10.5" customHeight="1" x14ac:dyDescent="0.35"/>
    <row r="829" s="22" customFormat="1" ht="10.5" customHeight="1" x14ac:dyDescent="0.35"/>
    <row r="830" s="22" customFormat="1" ht="10.5" customHeight="1" x14ac:dyDescent="0.35"/>
    <row r="831" s="22" customFormat="1" ht="10.5" customHeight="1" x14ac:dyDescent="0.35"/>
    <row r="832" s="22" customFormat="1" ht="10.5" customHeight="1" x14ac:dyDescent="0.35"/>
    <row r="833" s="22" customFormat="1" ht="10.5" customHeight="1" x14ac:dyDescent="0.35"/>
    <row r="834" s="22" customFormat="1" ht="10.5" customHeight="1" x14ac:dyDescent="0.35"/>
    <row r="835" s="22" customFormat="1" ht="10.5" customHeight="1" x14ac:dyDescent="0.35"/>
    <row r="836" s="22" customFormat="1" ht="10.5" customHeight="1" x14ac:dyDescent="0.35"/>
    <row r="837" s="22" customFormat="1" ht="10.5" customHeight="1" x14ac:dyDescent="0.35"/>
    <row r="838" s="22" customFormat="1" ht="10.5" customHeight="1" x14ac:dyDescent="0.35"/>
    <row r="839" s="22" customFormat="1" ht="10.5" customHeight="1" x14ac:dyDescent="0.35"/>
    <row r="840" s="22" customFormat="1" ht="10.5" customHeight="1" x14ac:dyDescent="0.35"/>
    <row r="841" s="22" customFormat="1" ht="10.5" customHeight="1" x14ac:dyDescent="0.35"/>
    <row r="842" s="22" customFormat="1" ht="10.5" customHeight="1" x14ac:dyDescent="0.35"/>
    <row r="843" s="22" customFormat="1" ht="10.5" customHeight="1" x14ac:dyDescent="0.35"/>
    <row r="844" s="22" customFormat="1" ht="10.5" customHeight="1" x14ac:dyDescent="0.35"/>
    <row r="845" s="22" customFormat="1" ht="10.5" customHeight="1" x14ac:dyDescent="0.35"/>
    <row r="846" s="22" customFormat="1" ht="10.5" customHeight="1" x14ac:dyDescent="0.35"/>
    <row r="847" s="22" customFormat="1" ht="10.5" customHeight="1" x14ac:dyDescent="0.35"/>
    <row r="848" s="22" customFormat="1" ht="10.5" customHeight="1" x14ac:dyDescent="0.35"/>
    <row r="849" s="22" customFormat="1" ht="10.5" customHeight="1" x14ac:dyDescent="0.35"/>
    <row r="850" s="22" customFormat="1" ht="10.5" customHeight="1" x14ac:dyDescent="0.35"/>
    <row r="851" s="22" customFormat="1" ht="10.5" customHeight="1" x14ac:dyDescent="0.35"/>
    <row r="852" s="22" customFormat="1" ht="10.5" customHeight="1" x14ac:dyDescent="0.35"/>
    <row r="853" s="22" customFormat="1" ht="10.5" customHeight="1" x14ac:dyDescent="0.35"/>
    <row r="854" s="22" customFormat="1" ht="10.5" customHeight="1" x14ac:dyDescent="0.35"/>
    <row r="855" s="22" customFormat="1" ht="10.5" customHeight="1" x14ac:dyDescent="0.35"/>
    <row r="856" s="22" customFormat="1" ht="10.5" customHeight="1" x14ac:dyDescent="0.35"/>
    <row r="857" s="22" customFormat="1" ht="10.5" customHeight="1" x14ac:dyDescent="0.35"/>
    <row r="858" s="22" customFormat="1" ht="10.5" customHeight="1" x14ac:dyDescent="0.35"/>
    <row r="859" s="22" customFormat="1" ht="10.5" customHeight="1" x14ac:dyDescent="0.35"/>
    <row r="860" s="22" customFormat="1" ht="10.5" customHeight="1" x14ac:dyDescent="0.35"/>
    <row r="861" s="22" customFormat="1" ht="10.5" customHeight="1" x14ac:dyDescent="0.35"/>
    <row r="862" s="22" customFormat="1" ht="10.5" customHeight="1" x14ac:dyDescent="0.35"/>
    <row r="863" s="22" customFormat="1" ht="10.5" customHeight="1" x14ac:dyDescent="0.35"/>
    <row r="864" s="22" customFormat="1" ht="10.5" customHeight="1" x14ac:dyDescent="0.35"/>
    <row r="865" s="22" customFormat="1" ht="10.5" customHeight="1" x14ac:dyDescent="0.35"/>
    <row r="866" s="22" customFormat="1" ht="10.5" customHeight="1" x14ac:dyDescent="0.35"/>
    <row r="867" s="22" customFormat="1" ht="10.5" customHeight="1" x14ac:dyDescent="0.35"/>
    <row r="868" s="22" customFormat="1" ht="10.5" customHeight="1" x14ac:dyDescent="0.35"/>
    <row r="869" s="22" customFormat="1" ht="10.5" customHeight="1" x14ac:dyDescent="0.35"/>
    <row r="870" s="22" customFormat="1" ht="10.5" customHeight="1" x14ac:dyDescent="0.35"/>
    <row r="871" s="22" customFormat="1" ht="10.5" customHeight="1" x14ac:dyDescent="0.35"/>
    <row r="872" s="22" customFormat="1" ht="10.5" customHeight="1" x14ac:dyDescent="0.35"/>
    <row r="873" s="22" customFormat="1" ht="10.5" customHeight="1" x14ac:dyDescent="0.35"/>
    <row r="874" s="22" customFormat="1" ht="10.5" customHeight="1" x14ac:dyDescent="0.35"/>
    <row r="875" s="22" customFormat="1" ht="10.5" customHeight="1" x14ac:dyDescent="0.35"/>
    <row r="876" s="22" customFormat="1" ht="10.5" customHeight="1" x14ac:dyDescent="0.35"/>
    <row r="877" s="22" customFormat="1" ht="10.5" customHeight="1" x14ac:dyDescent="0.35"/>
    <row r="878" s="22" customFormat="1" ht="10.5" customHeight="1" x14ac:dyDescent="0.35"/>
    <row r="879" s="22" customFormat="1" ht="10.5" customHeight="1" x14ac:dyDescent="0.35"/>
    <row r="880" s="22" customFormat="1" ht="10.5" customHeight="1" x14ac:dyDescent="0.35"/>
    <row r="881" s="22" customFormat="1" ht="10.5" customHeight="1" x14ac:dyDescent="0.35"/>
    <row r="882" s="22" customFormat="1" ht="10.5" customHeight="1" x14ac:dyDescent="0.35"/>
    <row r="883" s="22" customFormat="1" ht="10.5" customHeight="1" x14ac:dyDescent="0.35"/>
    <row r="884" s="22" customFormat="1" ht="10.5" customHeight="1" x14ac:dyDescent="0.35"/>
    <row r="885" s="22" customFormat="1" ht="10.5" customHeight="1" x14ac:dyDescent="0.35"/>
    <row r="886" s="22" customFormat="1" ht="10.5" customHeight="1" x14ac:dyDescent="0.35"/>
    <row r="887" s="22" customFormat="1" ht="10.5" customHeight="1" x14ac:dyDescent="0.35"/>
    <row r="888" s="22" customFormat="1" ht="10.5" customHeight="1" x14ac:dyDescent="0.35"/>
    <row r="889" s="22" customFormat="1" ht="10.5" customHeight="1" x14ac:dyDescent="0.35"/>
    <row r="890" s="22" customFormat="1" ht="10.5" customHeight="1" x14ac:dyDescent="0.35"/>
    <row r="891" s="22" customFormat="1" ht="10.5" customHeight="1" x14ac:dyDescent="0.35"/>
    <row r="892" s="22" customFormat="1" ht="10.5" customHeight="1" x14ac:dyDescent="0.35"/>
    <row r="893" s="22" customFormat="1" ht="10.5" customHeight="1" x14ac:dyDescent="0.35"/>
    <row r="894" s="22" customFormat="1" ht="10.5" customHeight="1" x14ac:dyDescent="0.35"/>
    <row r="895" s="22" customFormat="1" ht="10.5" customHeight="1" x14ac:dyDescent="0.35"/>
    <row r="896" s="22" customFormat="1" ht="10.5" customHeight="1" x14ac:dyDescent="0.35"/>
    <row r="897" s="22" customFormat="1" ht="10.5" customHeight="1" x14ac:dyDescent="0.35"/>
    <row r="898" s="22" customFormat="1" ht="10.5" customHeight="1" x14ac:dyDescent="0.35"/>
    <row r="899" s="22" customFormat="1" ht="10.5" customHeight="1" x14ac:dyDescent="0.35"/>
    <row r="900" s="22" customFormat="1" ht="10.5" customHeight="1" x14ac:dyDescent="0.35"/>
    <row r="901" s="22" customFormat="1" ht="10.5" customHeight="1" x14ac:dyDescent="0.35"/>
    <row r="902" s="22" customFormat="1" ht="10.5" customHeight="1" x14ac:dyDescent="0.35"/>
    <row r="903" s="22" customFormat="1" ht="10.5" customHeight="1" x14ac:dyDescent="0.35"/>
    <row r="904" s="22" customFormat="1" ht="10.5" customHeight="1" x14ac:dyDescent="0.35"/>
    <row r="905" s="22" customFormat="1" ht="10.5" customHeight="1" x14ac:dyDescent="0.35"/>
    <row r="906" s="22" customFormat="1" ht="10.5" customHeight="1" x14ac:dyDescent="0.35"/>
    <row r="907" s="22" customFormat="1" ht="10.5" customHeight="1" x14ac:dyDescent="0.35"/>
    <row r="908" s="22" customFormat="1" ht="10.5" customHeight="1" x14ac:dyDescent="0.35"/>
    <row r="909" s="22" customFormat="1" ht="10.5" customHeight="1" x14ac:dyDescent="0.35"/>
    <row r="910" s="22" customFormat="1" ht="10.5" customHeight="1" x14ac:dyDescent="0.35"/>
    <row r="911" s="22" customFormat="1" ht="10.5" customHeight="1" x14ac:dyDescent="0.35"/>
    <row r="912" s="22" customFormat="1" ht="10.5" customHeight="1" x14ac:dyDescent="0.35"/>
    <row r="913" s="22" customFormat="1" ht="10.5" customHeight="1" x14ac:dyDescent="0.35"/>
    <row r="914" s="22" customFormat="1" ht="10.5" customHeight="1" x14ac:dyDescent="0.35"/>
    <row r="915" s="22" customFormat="1" ht="10.5" customHeight="1" x14ac:dyDescent="0.35"/>
    <row r="916" s="22" customFormat="1" ht="10.5" customHeight="1" x14ac:dyDescent="0.35"/>
    <row r="917" s="22" customFormat="1" ht="10.5" customHeight="1" x14ac:dyDescent="0.35"/>
    <row r="918" s="22" customFormat="1" ht="10.5" customHeight="1" x14ac:dyDescent="0.35"/>
    <row r="919" s="22" customFormat="1" ht="10.5" customHeight="1" x14ac:dyDescent="0.35"/>
    <row r="920" s="22" customFormat="1" ht="10.5" customHeight="1" x14ac:dyDescent="0.35"/>
    <row r="921" s="22" customFormat="1" ht="10.5" customHeight="1" x14ac:dyDescent="0.35"/>
    <row r="922" s="22" customFormat="1" ht="10.5" customHeight="1" x14ac:dyDescent="0.35"/>
    <row r="923" s="22" customFormat="1" ht="10.5" customHeight="1" x14ac:dyDescent="0.35"/>
    <row r="924" s="22" customFormat="1" ht="10.5" customHeight="1" x14ac:dyDescent="0.35"/>
    <row r="925" s="22" customFormat="1" ht="10.5" customHeight="1" x14ac:dyDescent="0.35"/>
    <row r="926" s="22" customFormat="1" ht="10.5" customHeight="1" x14ac:dyDescent="0.35"/>
    <row r="927" s="22" customFormat="1" ht="10.5" customHeight="1" x14ac:dyDescent="0.35"/>
    <row r="928" s="22" customFormat="1" ht="10.5" customHeight="1" x14ac:dyDescent="0.35"/>
    <row r="929" s="22" customFormat="1" ht="10.5" customHeight="1" x14ac:dyDescent="0.35"/>
    <row r="930" s="22" customFormat="1" ht="10.5" customHeight="1" x14ac:dyDescent="0.35"/>
    <row r="931" s="22" customFormat="1" ht="10.5" customHeight="1" x14ac:dyDescent="0.35"/>
    <row r="932" s="22" customFormat="1" ht="10.5" customHeight="1" x14ac:dyDescent="0.35"/>
    <row r="933" s="22" customFormat="1" ht="10.5" customHeight="1" x14ac:dyDescent="0.35"/>
    <row r="934" s="22" customFormat="1" ht="10.5" customHeight="1" x14ac:dyDescent="0.35"/>
    <row r="935" s="22" customFormat="1" ht="10.5" customHeight="1" x14ac:dyDescent="0.35"/>
    <row r="936" s="22" customFormat="1" ht="10.5" customHeight="1" x14ac:dyDescent="0.35"/>
    <row r="937" s="22" customFormat="1" ht="10.5" customHeight="1" x14ac:dyDescent="0.35"/>
    <row r="938" s="22" customFormat="1" ht="10.5" customHeight="1" x14ac:dyDescent="0.35"/>
    <row r="939" s="22" customFormat="1" ht="10.5" customHeight="1" x14ac:dyDescent="0.35"/>
    <row r="940" s="22" customFormat="1" ht="10.5" customHeight="1" x14ac:dyDescent="0.35"/>
    <row r="941" s="22" customFormat="1" ht="10.5" customHeight="1" x14ac:dyDescent="0.35"/>
    <row r="942" s="22" customFormat="1" ht="10.5" customHeight="1" x14ac:dyDescent="0.35"/>
    <row r="943" s="22" customFormat="1" ht="10.5" customHeight="1" x14ac:dyDescent="0.35"/>
    <row r="944" s="22" customFormat="1" ht="10.5" customHeight="1" x14ac:dyDescent="0.35"/>
    <row r="945" s="22" customFormat="1" ht="10.5" customHeight="1" x14ac:dyDescent="0.35"/>
    <row r="946" s="22" customFormat="1" ht="10.5" customHeight="1" x14ac:dyDescent="0.35"/>
    <row r="947" s="22" customFormat="1" ht="10.5" customHeight="1" x14ac:dyDescent="0.35"/>
    <row r="948" s="22" customFormat="1" ht="10.5" customHeight="1" x14ac:dyDescent="0.35"/>
    <row r="949" s="22" customFormat="1" ht="10.5" customHeight="1" x14ac:dyDescent="0.35"/>
    <row r="950" s="22" customFormat="1" ht="10.5" customHeight="1" x14ac:dyDescent="0.35"/>
    <row r="951" s="22" customFormat="1" ht="10.5" customHeight="1" x14ac:dyDescent="0.35"/>
    <row r="952" s="22" customFormat="1" ht="10.5" customHeight="1" x14ac:dyDescent="0.35"/>
    <row r="953" s="22" customFormat="1" ht="10.5" customHeight="1" x14ac:dyDescent="0.35"/>
    <row r="954" s="22" customFormat="1" ht="10.5" customHeight="1" x14ac:dyDescent="0.35"/>
    <row r="955" s="22" customFormat="1" ht="10.5" customHeight="1" x14ac:dyDescent="0.35"/>
    <row r="956" s="22" customFormat="1" ht="10.5" customHeight="1" x14ac:dyDescent="0.35"/>
    <row r="957" s="22" customFormat="1" ht="10.5" customHeight="1" x14ac:dyDescent="0.35"/>
    <row r="958" s="22" customFormat="1" ht="10.5" customHeight="1" x14ac:dyDescent="0.35"/>
    <row r="959" s="22" customFormat="1" ht="10.5" customHeight="1" x14ac:dyDescent="0.35"/>
    <row r="960" s="22" customFormat="1" ht="10.5" customHeight="1" x14ac:dyDescent="0.35"/>
    <row r="961" s="22" customFormat="1" ht="10.5" customHeight="1" x14ac:dyDescent="0.35"/>
    <row r="962" s="22" customFormat="1" ht="10.5" customHeight="1" x14ac:dyDescent="0.35"/>
    <row r="963" s="22" customFormat="1" ht="10.5" customHeight="1" x14ac:dyDescent="0.35"/>
    <row r="964" s="22" customFormat="1" ht="10.5" customHeight="1" x14ac:dyDescent="0.35"/>
    <row r="965" s="22" customFormat="1" ht="10.5" customHeight="1" x14ac:dyDescent="0.35"/>
    <row r="966" s="22" customFormat="1" ht="10.5" customHeight="1" x14ac:dyDescent="0.35"/>
    <row r="967" s="22" customFormat="1" ht="10.5" customHeight="1" x14ac:dyDescent="0.35"/>
    <row r="968" s="22" customFormat="1" ht="10.5" customHeight="1" x14ac:dyDescent="0.35"/>
    <row r="969" s="22" customFormat="1" ht="10.5" customHeight="1" x14ac:dyDescent="0.35"/>
    <row r="970" s="22" customFormat="1" ht="10.5" customHeight="1" x14ac:dyDescent="0.35"/>
    <row r="971" s="22" customFormat="1" ht="10.5" customHeight="1" x14ac:dyDescent="0.35"/>
    <row r="972" s="22" customFormat="1" ht="10.5" customHeight="1" x14ac:dyDescent="0.35"/>
    <row r="973" s="22" customFormat="1" ht="10.5" customHeight="1" x14ac:dyDescent="0.35"/>
    <row r="974" s="22" customFormat="1" ht="10.5" customHeight="1" x14ac:dyDescent="0.35"/>
    <row r="975" s="22" customFormat="1" ht="10.5" customHeight="1" x14ac:dyDescent="0.35"/>
    <row r="976" s="22" customFormat="1" ht="10.5" customHeight="1" x14ac:dyDescent="0.35"/>
    <row r="977" s="22" customFormat="1" ht="10.5" customHeight="1" x14ac:dyDescent="0.35"/>
    <row r="978" s="22" customFormat="1" ht="10.5" customHeight="1" x14ac:dyDescent="0.35"/>
    <row r="979" s="22" customFormat="1" ht="10.5" customHeight="1" x14ac:dyDescent="0.35"/>
    <row r="980" s="22" customFormat="1" ht="10.5" customHeight="1" x14ac:dyDescent="0.35"/>
    <row r="981" s="22" customFormat="1" ht="10.5" customHeight="1" x14ac:dyDescent="0.35"/>
    <row r="982" s="22" customFormat="1" ht="10.5" customHeight="1" x14ac:dyDescent="0.35"/>
    <row r="983" s="22" customFormat="1" ht="10.5" customHeight="1" x14ac:dyDescent="0.35"/>
    <row r="984" s="22" customFormat="1" ht="10.5" customHeight="1" x14ac:dyDescent="0.35"/>
    <row r="985" s="22" customFormat="1" ht="10.5" customHeight="1" x14ac:dyDescent="0.35"/>
    <row r="986" s="22" customFormat="1" ht="10.5" customHeight="1" x14ac:dyDescent="0.35"/>
    <row r="987" s="22" customFormat="1" ht="10.5" customHeight="1" x14ac:dyDescent="0.35"/>
    <row r="988" s="22" customFormat="1" ht="10.5" customHeight="1" x14ac:dyDescent="0.35"/>
    <row r="989" s="22" customFormat="1" ht="10.5" customHeight="1" x14ac:dyDescent="0.35"/>
    <row r="990" s="22" customFormat="1" ht="10.5" customHeight="1" x14ac:dyDescent="0.35"/>
    <row r="991" s="22" customFormat="1" ht="10.5" customHeight="1" x14ac:dyDescent="0.35"/>
    <row r="992" s="22" customFormat="1" ht="10.5" customHeight="1" x14ac:dyDescent="0.35"/>
    <row r="993" s="22" customFormat="1" ht="10.5" customHeight="1" x14ac:dyDescent="0.35"/>
    <row r="994" s="22" customFormat="1" ht="10.5" customHeight="1" x14ac:dyDescent="0.35"/>
    <row r="995" s="22" customFormat="1" ht="10.5" customHeight="1" x14ac:dyDescent="0.35"/>
    <row r="996" s="22" customFormat="1" ht="10.5" customHeight="1" x14ac:dyDescent="0.35"/>
    <row r="997" s="22" customFormat="1" ht="10.5" customHeight="1" x14ac:dyDescent="0.35"/>
    <row r="998" s="22" customFormat="1" ht="10.5" customHeight="1" x14ac:dyDescent="0.35"/>
    <row r="999" s="22" customFormat="1" ht="10.5" customHeight="1" x14ac:dyDescent="0.35"/>
    <row r="1000" s="22" customFormat="1" ht="10.5" customHeight="1" x14ac:dyDescent="0.35"/>
  </sheetData>
  <mergeCells count="11">
    <mergeCell ref="B131:J131"/>
    <mergeCell ref="B127:J127"/>
    <mergeCell ref="B133:K133"/>
    <mergeCell ref="B3:N3"/>
    <mergeCell ref="B130:J130"/>
    <mergeCell ref="B80:G80"/>
    <mergeCell ref="B129:J129"/>
    <mergeCell ref="B128:J128"/>
    <mergeCell ref="B1:N1"/>
    <mergeCell ref="B126:N126"/>
    <mergeCell ref="B83:N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educrispin24@gmail.com</cp:lastModifiedBy>
  <dcterms:created xsi:type="dcterms:W3CDTF">2026-03-27T13:02:14Z</dcterms:created>
  <dcterms:modified xsi:type="dcterms:W3CDTF">2026-03-27T13:02:14Z</dcterms:modified>
</cp:coreProperties>
</file>