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unto 1" sheetId="1" r:id="rId5"/>
    <sheet state="visible" name="Punto 2" sheetId="2" r:id="rId6"/>
    <sheet state="visible" name="Punto 3" sheetId="3" r:id="rId7"/>
  </sheets>
  <definedNames/>
  <calcPr/>
</workbook>
</file>

<file path=xl/sharedStrings.xml><?xml version="1.0" encoding="utf-8"?>
<sst xmlns="http://schemas.openxmlformats.org/spreadsheetml/2006/main" count="50" uniqueCount="47">
  <si>
    <t xml:space="preserve">Tasa </t>
  </si>
  <si>
    <t>Tipo</t>
  </si>
  <si>
    <t>Efectiva Anual</t>
  </si>
  <si>
    <t>Banco A 21% abv en dolares</t>
  </si>
  <si>
    <t xml:space="preserve">Tasa nominal abv </t>
  </si>
  <si>
    <t>m (bimestral)</t>
  </si>
  <si>
    <t>ipv bimestral</t>
  </si>
  <si>
    <t>ie Banco A</t>
  </si>
  <si>
    <t>Banco B  5% amv (Tasa Mixta)</t>
  </si>
  <si>
    <t>ipv Mensual</t>
  </si>
  <si>
    <t>anv Prima</t>
  </si>
  <si>
    <t>5% amv</t>
  </si>
  <si>
    <t>Total anv</t>
  </si>
  <si>
    <t>ie Banco B</t>
  </si>
  <si>
    <t>Banco C 4% ATV  (Tasa Mixta)</t>
  </si>
  <si>
    <t xml:space="preserve">ipv </t>
  </si>
  <si>
    <t>anv</t>
  </si>
  <si>
    <t>atv</t>
  </si>
  <si>
    <t>ie Banco C</t>
  </si>
  <si>
    <t>La opcion mas conveniente, es decir la de menor tasa, es el Banco C con 16.93% en dolares</t>
  </si>
  <si>
    <t>Tasa Mensual Vencida</t>
  </si>
  <si>
    <t>Monto</t>
  </si>
  <si>
    <t>Mes de Flujo</t>
  </si>
  <si>
    <t>n = 12-mes</t>
  </si>
  <si>
    <t>VF al mes 12</t>
  </si>
  <si>
    <t xml:space="preserve">Deuda </t>
  </si>
  <si>
    <t>Pago 1</t>
  </si>
  <si>
    <t>Pago 2</t>
  </si>
  <si>
    <t>Cantidad a Pagar en el mes 12</t>
  </si>
  <si>
    <t>A)</t>
  </si>
  <si>
    <t>Tasa ea</t>
  </si>
  <si>
    <t>Tasa mensual equiv</t>
  </si>
  <si>
    <t>Flujo</t>
  </si>
  <si>
    <t>Mes (n)</t>
  </si>
  <si>
    <t>VP = Monto ÷ (1+im)^n</t>
  </si>
  <si>
    <t>Recibido Hoy</t>
  </si>
  <si>
    <t>Paga Mes 4</t>
  </si>
  <si>
    <t>Paga Mes 9</t>
  </si>
  <si>
    <t>Paga Mes 15</t>
  </si>
  <si>
    <t>Total todos los VP</t>
  </si>
  <si>
    <t>B)</t>
  </si>
  <si>
    <t>VP de obligaciones futuras (valor absoluto)</t>
  </si>
  <si>
    <t>VP en mes 0</t>
  </si>
  <si>
    <t>Diferencia (recibido − VP_obligaciones)</t>
  </si>
  <si>
    <t>No es suficiente $2.000.000 ya que no alcanza para cubrir el VP de las obligaciones futuras.</t>
  </si>
  <si>
    <t>C)</t>
  </si>
  <si>
    <t>El dinero necesario para que la operación quede finncieramente equilibrasa es $2,342,699,52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</si>
</sst>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\$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00"/>
      <name val="Arial"/>
    </font>
    <font/>
    <font>
      <b/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9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0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1" fillId="0" fontId="2" numFmtId="10" xfId="0" applyBorder="1" applyFont="1" applyNumberFormat="1"/>
    <xf borderId="1" fillId="0" fontId="2" numFmtId="9" xfId="0" applyBorder="1" applyFont="1" applyNumberFormat="1"/>
    <xf borderId="1" fillId="0" fontId="1" numFmtId="10" xfId="0" applyAlignment="1" applyBorder="1" applyFont="1" applyNumberForma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4" xfId="0" applyBorder="1" applyFont="1" applyNumberFormat="1"/>
    <xf borderId="1" fillId="0" fontId="2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2" fillId="0" fontId="3" numFmtId="0" xfId="0" applyAlignment="1" applyBorder="1" applyFont="1">
      <alignment readingOrder="0" shrinkToFit="0" wrapText="1"/>
    </xf>
    <xf borderId="3" fillId="0" fontId="4" numFmtId="0" xfId="0" applyBorder="1" applyFont="1"/>
    <xf borderId="4" fillId="0" fontId="4" numFmtId="0" xfId="0" applyBorder="1" applyFont="1"/>
    <xf borderId="2" fillId="0" fontId="3" numFmtId="165" xfId="0" applyAlignment="1" applyBorder="1" applyFont="1" applyNumberFormat="1">
      <alignment horizontal="center" shrinkToFit="0" wrapText="1"/>
    </xf>
    <xf borderId="2" fillId="0" fontId="5" numFmtId="165" xfId="0" applyAlignment="1" applyBorder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104775</xdr:rowOff>
    </xdr:from>
    <xdr:ext cx="4010025" cy="14954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4</xdr:row>
      <xdr:rowOff>123825</xdr:rowOff>
    </xdr:from>
    <xdr:ext cx="4752975" cy="8667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85725</xdr:rowOff>
    </xdr:from>
    <xdr:ext cx="4876800" cy="24384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1.13"/>
  </cols>
  <sheetData>
    <row r="11">
      <c r="A11" s="1" t="s">
        <v>0</v>
      </c>
      <c r="B11" s="1" t="s">
        <v>1</v>
      </c>
    </row>
    <row r="12">
      <c r="A12" s="2">
        <v>0.2</v>
      </c>
      <c r="B12" s="3" t="s">
        <v>2</v>
      </c>
    </row>
    <row r="13">
      <c r="A13" s="4">
        <v>0.125</v>
      </c>
      <c r="B13" s="3" t="s">
        <v>2</v>
      </c>
    </row>
    <row r="15">
      <c r="A15" s="5" t="s">
        <v>3</v>
      </c>
    </row>
    <row r="17">
      <c r="A17" s="1" t="s">
        <v>4</v>
      </c>
      <c r="B17" s="4">
        <v>0.21</v>
      </c>
    </row>
    <row r="18">
      <c r="A18" s="1" t="s">
        <v>5</v>
      </c>
      <c r="B18" s="3">
        <v>6.0</v>
      </c>
    </row>
    <row r="19">
      <c r="A19" s="1" t="s">
        <v>6</v>
      </c>
      <c r="B19" s="4">
        <f>B17/B18</f>
        <v>0.035</v>
      </c>
    </row>
    <row r="20">
      <c r="A20" s="1" t="s">
        <v>7</v>
      </c>
      <c r="B20" s="4">
        <f>(1+B19)^B18-1</f>
        <v>0.2292553263</v>
      </c>
    </row>
    <row r="23">
      <c r="A23" s="5" t="s">
        <v>8</v>
      </c>
    </row>
    <row r="25">
      <c r="A25" s="1" t="s">
        <v>9</v>
      </c>
      <c r="B25" s="6">
        <f>(1+A12)^(1/12)-1</f>
        <v>0.0153094705</v>
      </c>
    </row>
    <row r="26">
      <c r="A26" s="1" t="s">
        <v>10</v>
      </c>
      <c r="B26" s="6">
        <f>B25*12</f>
        <v>0.183713646</v>
      </c>
    </row>
    <row r="27">
      <c r="A27" s="1" t="s">
        <v>11</v>
      </c>
      <c r="B27" s="2">
        <v>0.05</v>
      </c>
    </row>
    <row r="28">
      <c r="A28" s="1" t="s">
        <v>12</v>
      </c>
      <c r="B28" s="6">
        <f>B26+B27</f>
        <v>0.233713646</v>
      </c>
    </row>
    <row r="29">
      <c r="A29" s="1" t="s">
        <v>13</v>
      </c>
      <c r="B29" s="6">
        <f>(1+B28/12)^12-1</f>
        <v>0.2604475448</v>
      </c>
    </row>
    <row r="32">
      <c r="A32" s="5" t="s">
        <v>14</v>
      </c>
    </row>
    <row r="34">
      <c r="A34" s="1" t="s">
        <v>15</v>
      </c>
      <c r="B34" s="6">
        <f>(1+A13)^(1/4)-1</f>
        <v>0.02988357195</v>
      </c>
    </row>
    <row r="35">
      <c r="A35" s="1" t="s">
        <v>16</v>
      </c>
      <c r="B35" s="6">
        <f>B34*4</f>
        <v>0.1195342878</v>
      </c>
    </row>
    <row r="36">
      <c r="A36" s="1" t="s">
        <v>17</v>
      </c>
      <c r="B36" s="2">
        <v>0.04</v>
      </c>
    </row>
    <row r="37">
      <c r="A37" s="1" t="s">
        <v>12</v>
      </c>
      <c r="B37" s="7">
        <f>B36+B35</f>
        <v>0.1595342878</v>
      </c>
    </row>
    <row r="38">
      <c r="A38" s="1" t="s">
        <v>18</v>
      </c>
      <c r="B38" s="6">
        <f>(1+B37/4)^4-1</f>
        <v>0.1693347851</v>
      </c>
    </row>
    <row r="40">
      <c r="A40" s="5" t="s">
        <v>19</v>
      </c>
    </row>
  </sheetData>
  <mergeCells count="1">
    <mergeCell ref="A15:C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</cols>
  <sheetData>
    <row r="11">
      <c r="A11" s="1" t="s">
        <v>20</v>
      </c>
      <c r="B11" s="8">
        <v>0.018</v>
      </c>
    </row>
    <row r="13">
      <c r="B13" s="1" t="s">
        <v>21</v>
      </c>
      <c r="C13" s="1" t="s">
        <v>22</v>
      </c>
      <c r="D13" s="1" t="s">
        <v>23</v>
      </c>
      <c r="E13" s="1" t="s">
        <v>24</v>
      </c>
    </row>
    <row r="14">
      <c r="A14" s="1" t="s">
        <v>25</v>
      </c>
      <c r="B14" s="9">
        <v>1800000.0</v>
      </c>
      <c r="C14" s="3">
        <v>0.0</v>
      </c>
      <c r="D14" s="3">
        <v>12.0</v>
      </c>
      <c r="E14" s="10">
        <f>B14*(1+B11)^D14</f>
        <v>2229696.957</v>
      </c>
    </row>
    <row r="15">
      <c r="A15" s="1" t="s">
        <v>26</v>
      </c>
      <c r="B15" s="9">
        <v>350000.0</v>
      </c>
      <c r="C15" s="3">
        <v>0.0</v>
      </c>
      <c r="D15" s="3">
        <v>12.0</v>
      </c>
      <c r="E15" s="10">
        <f>B15*(1+B11)^D15</f>
        <v>433552.1861</v>
      </c>
    </row>
    <row r="16">
      <c r="A16" s="1" t="s">
        <v>27</v>
      </c>
      <c r="B16" s="9">
        <v>720000.0</v>
      </c>
      <c r="C16" s="3">
        <v>8.0</v>
      </c>
      <c r="D16" s="3">
        <v>4.0</v>
      </c>
      <c r="E16" s="10">
        <f>B16*(1+B11)^D16</f>
        <v>773256.5517</v>
      </c>
    </row>
    <row r="18">
      <c r="A18" s="1" t="s">
        <v>28</v>
      </c>
    </row>
    <row r="19">
      <c r="A19" s="10">
        <f>E14-E15-E16</f>
        <v>1022888.219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4" max="4" width="19.88"/>
  </cols>
  <sheetData>
    <row r="14">
      <c r="A14" s="5" t="s">
        <v>29</v>
      </c>
    </row>
    <row r="15">
      <c r="A15" s="1" t="s">
        <v>30</v>
      </c>
      <c r="B15" s="4">
        <v>0.23</v>
      </c>
    </row>
    <row r="16">
      <c r="A16" s="1" t="s">
        <v>31</v>
      </c>
      <c r="B16" s="6">
        <f>(1+B15)^(1/12)-1</f>
        <v>0.01740084177</v>
      </c>
    </row>
    <row r="19">
      <c r="A19" s="1" t="s">
        <v>32</v>
      </c>
      <c r="B19" s="1" t="s">
        <v>21</v>
      </c>
      <c r="C19" s="1" t="s">
        <v>33</v>
      </c>
      <c r="D19" s="1" t="s">
        <v>34</v>
      </c>
    </row>
    <row r="20">
      <c r="A20" s="3" t="s">
        <v>35</v>
      </c>
      <c r="B20" s="9">
        <v>2000000.0</v>
      </c>
      <c r="C20" s="3">
        <v>0.0</v>
      </c>
      <c r="D20" s="11">
        <f>B20/(1+B16)^C20</f>
        <v>2000000</v>
      </c>
    </row>
    <row r="21">
      <c r="A21" s="3" t="s">
        <v>36</v>
      </c>
      <c r="B21" s="9">
        <v>-1200000.0</v>
      </c>
      <c r="C21" s="3">
        <v>4.0</v>
      </c>
      <c r="D21" s="11">
        <f>B21/(1+B16)^C21</f>
        <v>-1119986.726</v>
      </c>
    </row>
    <row r="22">
      <c r="A22" s="3" t="s">
        <v>37</v>
      </c>
      <c r="B22" s="9">
        <v>-1600000.0</v>
      </c>
      <c r="C22" s="3">
        <v>9.0</v>
      </c>
      <c r="D22" s="11">
        <f>B22/(1+B16)^C22</f>
        <v>-1369907.203</v>
      </c>
    </row>
    <row r="23">
      <c r="A23" s="3" t="s">
        <v>38</v>
      </c>
      <c r="B23" s="9">
        <v>-2400000.0</v>
      </c>
      <c r="C23" s="3">
        <v>15.0</v>
      </c>
      <c r="D23" s="11">
        <f>B23/(1+B16)^C23</f>
        <v>-1852805.59</v>
      </c>
    </row>
    <row r="25">
      <c r="A25" s="1" t="s">
        <v>39</v>
      </c>
      <c r="B25" s="12">
        <f>SUM(D20:D23)</f>
        <v>-2342699.519</v>
      </c>
    </row>
    <row r="28">
      <c r="A28" s="5" t="s">
        <v>40</v>
      </c>
    </row>
    <row r="30">
      <c r="A30" s="13" t="s">
        <v>41</v>
      </c>
      <c r="B30" s="14"/>
      <c r="C30" s="15"/>
      <c r="D30" s="16">
        <f>ABS(D21+D22+D23)</f>
        <v>4342699.519</v>
      </c>
      <c r="E30" s="14"/>
      <c r="F30" s="15"/>
    </row>
    <row r="31">
      <c r="A31" s="13" t="s">
        <v>42</v>
      </c>
      <c r="B31" s="14"/>
      <c r="C31" s="15"/>
      <c r="D31" s="16">
        <f>D20</f>
        <v>2000000</v>
      </c>
      <c r="E31" s="14"/>
      <c r="F31" s="15"/>
    </row>
    <row r="32">
      <c r="A32" s="13" t="s">
        <v>43</v>
      </c>
      <c r="B32" s="14"/>
      <c r="C32" s="15"/>
      <c r="D32" s="17">
        <f>D31-D30</f>
        <v>-2342699.519</v>
      </c>
      <c r="E32" s="14"/>
      <c r="F32" s="15"/>
    </row>
    <row r="34">
      <c r="A34" s="5" t="s">
        <v>44</v>
      </c>
    </row>
    <row r="37">
      <c r="A37" s="5" t="s">
        <v>45</v>
      </c>
    </row>
    <row r="38">
      <c r="A38" s="5" t="s">
        <v>46</v>
      </c>
    </row>
  </sheetData>
  <mergeCells count="6">
    <mergeCell ref="A30:C30"/>
    <mergeCell ref="D30:F30"/>
    <mergeCell ref="A31:C31"/>
    <mergeCell ref="D31:F31"/>
    <mergeCell ref="A32:C32"/>
    <mergeCell ref="D32:F32"/>
  </mergeCells>
  <drawing r:id="rId1"/>
</worksheet>
</file>